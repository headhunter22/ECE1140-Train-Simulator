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9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acob/Desktop/SPRING 2023/ECE1140/Track Model/ECE1140-Team-1/Full System/"/>
    </mc:Choice>
  </mc:AlternateContent>
  <xr:revisionPtr revIDLastSave="0" documentId="8_{CC3ACEE7-7B04-E448-9779-C5C993D47210}" xr6:coauthVersionLast="47" xr6:coauthVersionMax="47" xr10:uidLastSave="{00000000-0000-0000-0000-000000000000}"/>
  <bookViews>
    <workbookView xWindow="0" yWindow="500" windowWidth="35840" windowHeight="21900" activeTab="2" xr2:uid="{00000000-000D-0000-FFFF-FFFF00000000}"/>
  </bookViews>
  <sheets>
    <sheet name="General Information" sheetId="3" r:id="rId1"/>
    <sheet name="Blue Line" sheetId="7" r:id="rId2"/>
    <sheet name="RedLine" sheetId="1" r:id="rId3"/>
    <sheet name="Green Line" sheetId="2" r:id="rId4"/>
    <sheet name="OrangeLine" sheetId="9" r:id="rId5"/>
    <sheet name="Track Layout" sheetId="4" r:id="rId6"/>
    <sheet name="Vehicle Data 1" sheetId="5" r:id="rId7"/>
    <sheet name="Vehicle Data 2" sheetId="6" r:id="rId8"/>
  </sheets>
  <definedNames>
    <definedName name="_xlnm._FilterDatabase" localSheetId="3" hidden="1">'Green Line'!$A$1:$K$151</definedName>
    <definedName name="_xlnm._FilterDatabase" localSheetId="4" hidden="1">OrangeLine!$A$1:$K$19</definedName>
    <definedName name="_xlnm._FilterDatabase" localSheetId="2" hidden="1">RedLine!$A$1:$J$154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9" i="9" l="1"/>
  <c r="I19" i="9"/>
  <c r="K18" i="9"/>
  <c r="I18" i="9"/>
  <c r="K17" i="9"/>
  <c r="I17" i="9"/>
  <c r="K16" i="9"/>
  <c r="I16" i="9"/>
  <c r="K15" i="9"/>
  <c r="I15" i="9"/>
  <c r="K14" i="9"/>
  <c r="I14" i="9"/>
  <c r="K13" i="9"/>
  <c r="I13" i="9"/>
  <c r="K12" i="9"/>
  <c r="I12" i="9"/>
  <c r="K11" i="9"/>
  <c r="I11" i="9"/>
  <c r="K10" i="9"/>
  <c r="I10" i="9"/>
  <c r="K9" i="9"/>
  <c r="I9" i="9"/>
  <c r="K8" i="9"/>
  <c r="I8" i="9"/>
  <c r="K7" i="9"/>
  <c r="I7" i="9"/>
  <c r="K6" i="9"/>
  <c r="I6" i="9"/>
  <c r="K5" i="9"/>
  <c r="I5" i="9"/>
  <c r="K4" i="9"/>
  <c r="I4" i="9"/>
  <c r="K3" i="9"/>
  <c r="I3" i="9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K2" i="9"/>
  <c r="I2" i="9"/>
  <c r="J2" i="9" s="1"/>
  <c r="I7" i="7"/>
  <c r="I8" i="7"/>
  <c r="I9" i="7"/>
  <c r="I10" i="7"/>
  <c r="I11" i="7"/>
  <c r="I12" i="7"/>
  <c r="I13" i="7"/>
  <c r="I14" i="7"/>
  <c r="I15" i="7"/>
  <c r="I16" i="7"/>
  <c r="I2" i="7"/>
  <c r="J2" i="7" s="1"/>
  <c r="I6" i="7"/>
  <c r="I5" i="7"/>
  <c r="I4" i="7"/>
  <c r="I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J3" i="9" l="1"/>
  <c r="J4" i="9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3" i="7"/>
  <c r="J4" i="7" s="1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D115" i="2" l="1"/>
  <c r="D149" i="2"/>
  <c r="I110" i="2" l="1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G106" i="2"/>
  <c r="G115" i="2"/>
  <c r="G124" i="2"/>
  <c r="G133" i="2"/>
  <c r="G142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I2" i="2"/>
  <c r="J2" i="2" s="1"/>
  <c r="E19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9" i="1"/>
  <c r="I20" i="1"/>
  <c r="I2" i="1"/>
  <c r="J2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J3" i="1" l="1"/>
  <c r="J4" i="1" s="1"/>
  <c r="J5" i="1" s="1"/>
  <c r="J6" i="1" s="1"/>
  <c r="J7" i="1" s="1"/>
  <c r="J8" i="1" s="1"/>
  <c r="J9" i="1" s="1"/>
  <c r="J10" i="1" s="1"/>
  <c r="J11" i="1" s="1"/>
  <c r="A38" i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35" i="1"/>
  <c r="A36" i="1" s="1"/>
  <c r="A37" i="1" s="1"/>
  <c r="J3" i="2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2" i="1"/>
  <c r="J13" i="1" s="1"/>
  <c r="J14" i="1" s="1"/>
  <c r="J15" i="1" s="1"/>
  <c r="J16" i="1" s="1"/>
  <c r="J17" i="1" s="1"/>
  <c r="A38" i="2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35" i="2"/>
  <c r="A36" i="2" s="1"/>
  <c r="A37" i="2" s="1"/>
  <c r="I18" i="1"/>
  <c r="J18" i="1" l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</calcChain>
</file>

<file path=xl/sharedStrings.xml><?xml version="1.0" encoding="utf-8"?>
<sst xmlns="http://schemas.openxmlformats.org/spreadsheetml/2006/main" count="453" uniqueCount="95">
  <si>
    <t>Block Number</t>
  </si>
  <si>
    <t>Line</t>
  </si>
  <si>
    <t>Green</t>
  </si>
  <si>
    <t>Block Length (m)</t>
  </si>
  <si>
    <t>Block Grade (%)</t>
  </si>
  <si>
    <t>http://www.flexity2.bombardier.com/swf/index.html</t>
  </si>
  <si>
    <t>PAAC will be deploying the Bombardier Flexity 2 Transit Car with the same configuration as Blackpool</t>
  </si>
  <si>
    <t>Section</t>
  </si>
  <si>
    <t>A</t>
  </si>
  <si>
    <t>B</t>
  </si>
  <si>
    <t>C</t>
  </si>
  <si>
    <t>Infrastructure</t>
  </si>
  <si>
    <t>Red</t>
  </si>
  <si>
    <t>D</t>
  </si>
  <si>
    <t>E</t>
  </si>
  <si>
    <t>F</t>
  </si>
  <si>
    <t>The lowest block number is closest to the letter in the alphabet preceding the block section letter.</t>
  </si>
  <si>
    <t>Sections consist of multiple blocks.</t>
  </si>
  <si>
    <t>Sections are not drawn to scale</t>
  </si>
  <si>
    <t>G</t>
  </si>
  <si>
    <t>H</t>
  </si>
  <si>
    <t>I</t>
  </si>
  <si>
    <t>STATION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</si>
  <si>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</si>
  <si>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</si>
  <si>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</si>
  <si>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</si>
  <si>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</si>
  <si>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</si>
  <si>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</si>
  <si>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</si>
  <si>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</si>
  <si>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</si>
  <si>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</si>
  <si>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UNDERGROUND</t>
  </si>
  <si>
    <t xml:space="preserve"> </t>
  </si>
  <si>
    <t>ELEVATION (M)</t>
  </si>
  <si>
    <t>CUMALTIVE ELEVATION (M)</t>
  </si>
  <si>
    <t>STATION: SHADYSIDE</t>
  </si>
  <si>
    <t>STATION: HERRON AVE</t>
  </si>
  <si>
    <t>STATION;     STEEL PLAZA; UNDERGROUND</t>
  </si>
  <si>
    <t>STATION; STATION SQUARE</t>
  </si>
  <si>
    <t>STATION; SOUTH HILLS JUNCTION</t>
  </si>
  <si>
    <t>Speed Limit (Km/Hr)</t>
  </si>
  <si>
    <t>U</t>
  </si>
  <si>
    <t>V</t>
  </si>
  <si>
    <t>W</t>
  </si>
  <si>
    <t>X</t>
  </si>
  <si>
    <t>Y</t>
  </si>
  <si>
    <t>Z</t>
  </si>
  <si>
    <t>STATION; PIONEER</t>
  </si>
  <si>
    <t>STATION; EDGEBROOK</t>
  </si>
  <si>
    <t>STATION; WHITED</t>
  </si>
  <si>
    <t>STATION; SOUTH BANK</t>
  </si>
  <si>
    <t>STATION; GLENBURY</t>
  </si>
  <si>
    <t>STATION; DORMONT</t>
  </si>
  <si>
    <t>STATION; POPLAR</t>
  </si>
  <si>
    <t>STATION;   CASTLE SHANNON</t>
  </si>
  <si>
    <t>STATION; CENTRAL; UNDERDROUND</t>
  </si>
  <si>
    <t>STATION; INGLEWOOD; UNDERGROUND</t>
  </si>
  <si>
    <t>STATION; OVERBROOK; UNDERGROUND</t>
  </si>
  <si>
    <t>STATION; SWISSVILLE</t>
  </si>
  <si>
    <t>RAILWAY CROSSING</t>
  </si>
  <si>
    <t>Release 2.0 of Track data - corrections shown in yellow cells; see red and green line</t>
  </si>
  <si>
    <t>SWITCH (12-13; 1-13)</t>
  </si>
  <si>
    <t>SWITCH TO YARD (57-yard)</t>
  </si>
  <si>
    <t>SWITCH FROM YARD (Yard-63)</t>
  </si>
  <si>
    <t>SWITCH (76-77;77-101)</t>
  </si>
  <si>
    <t>STATION; MT LEBANON</t>
  </si>
  <si>
    <t>SWITCH (85-86; 100-85)</t>
  </si>
  <si>
    <t>SWITCH TO/FROM YARD (75-yard)</t>
  </si>
  <si>
    <t>SWITCH (15-16; 1-16)</t>
  </si>
  <si>
    <t>STATION; PENN STATION; UNDERGROUND</t>
  </si>
  <si>
    <t>SWITCH (27-28; 27-76); UNDERGROUND</t>
  </si>
  <si>
    <t>SWITCH (38-39; 38-71); UNDERGROUND</t>
  </si>
  <si>
    <t>STATION; FIRST AVE; UNDERGROUND</t>
  </si>
  <si>
    <t>SWITCH (52-53; 52-66)</t>
  </si>
  <si>
    <t>SWITCH (32-33; 33-72); UNDERGROUND</t>
  </si>
  <si>
    <t>SWITCH (43-44; 44-67); UNDERGROUND</t>
  </si>
  <si>
    <t>SWITCH (29-30; 29-150)</t>
  </si>
  <si>
    <t>seconds to traverse block</t>
  </si>
  <si>
    <t>Blue</t>
  </si>
  <si>
    <t>Switch ( 5 to 6)</t>
  </si>
  <si>
    <t>Switch ( 5 to 6) or (5 to 11)</t>
  </si>
  <si>
    <t>Switch (5 to 11)</t>
  </si>
  <si>
    <t>Station C</t>
  </si>
  <si>
    <t>Station B</t>
  </si>
  <si>
    <t>Yard</t>
  </si>
  <si>
    <t>Station Side</t>
  </si>
  <si>
    <t>Left</t>
  </si>
  <si>
    <t>Left/Right</t>
  </si>
  <si>
    <t>Right</t>
  </si>
  <si>
    <t>wayside</t>
  </si>
  <si>
    <t>Orange</t>
  </si>
  <si>
    <t>Beacon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</si>
</sst>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8">
    <xf numFmtId="0" fontId="0" fillId="0" borderId="0" xfId="0"/>
    <xf numFmtId="0" fontId="5" fillId="0" borderId="0" xfId="0" applyFont="1"/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7" fillId="0" borderId="0" xfId="0" applyFont="1"/>
    <xf numFmtId="0" fontId="9" fillId="0" borderId="0" xfId="0" applyFont="1" applyAlignment="1">
      <alignment horizontal="center" wrapText="1"/>
    </xf>
    <xf numFmtId="164" fontId="7" fillId="0" borderId="0" xfId="1" applyNumberFormat="1" applyFont="1"/>
    <xf numFmtId="1" fontId="5" fillId="0" borderId="0" xfId="0" applyNumberFormat="1" applyFont="1"/>
    <xf numFmtId="0" fontId="10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2" fontId="5" fillId="0" borderId="0" xfId="0" applyNumberFormat="1" applyFont="1" applyAlignment="1">
      <alignment horizontal="center"/>
    </xf>
    <xf numFmtId="0" fontId="7" fillId="2" borderId="0" xfId="0" applyFont="1" applyFill="1"/>
    <xf numFmtId="0" fontId="8" fillId="2" borderId="0" xfId="0" applyFont="1" applyFill="1" applyAlignment="1">
      <alignment horizontal="center"/>
    </xf>
    <xf numFmtId="165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2" borderId="0" xfId="0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 wrapText="1"/>
    </xf>
    <xf numFmtId="0" fontId="3" fillId="0" borderId="0" xfId="0" applyFont="1" applyAlignment="1">
      <alignment horizontal="center"/>
    </xf>
    <xf numFmtId="0" fontId="2" fillId="0" borderId="0" xfId="0" applyFont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267120</xdr:colOff>
      <xdr:row>27</xdr:row>
      <xdr:rowOff>107950</xdr:rowOff>
    </xdr:from>
    <xdr:ext cx="3066609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0518D34-902E-4EBF-9A22-1DBABAC59FB4}"/>
            </a:ext>
          </a:extLst>
        </xdr:cNvPr>
        <xdr:cNvSpPr txBox="1"/>
      </xdr:nvSpPr>
      <xdr:spPr>
        <a:xfrm rot="991962">
          <a:off x="3924720" y="5676900"/>
          <a:ext cx="306660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11                12                 13               14                    15</a:t>
          </a:r>
        </a:p>
      </xdr:txBody>
    </xdr:sp>
    <xdr:clientData/>
  </xdr:oneCellAnchor>
  <xdr:twoCellAnchor>
    <xdr:from>
      <xdr:col>0</xdr:col>
      <xdr:colOff>37440</xdr:colOff>
      <xdr:row>18</xdr:row>
      <xdr:rowOff>148990</xdr:rowOff>
    </xdr:from>
    <xdr:to>
      <xdr:col>9</xdr:col>
      <xdr:colOff>216730</xdr:colOff>
      <xdr:row>32</xdr:row>
      <xdr:rowOff>169310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BD9B0EC4-FB0F-4329-BDC6-0B3DB93B4A1A}"/>
            </a:ext>
          </a:extLst>
        </xdr:cNvPr>
        <xdr:cNvGrpSpPr/>
      </xdr:nvGrpSpPr>
      <xdr:grpSpPr>
        <a:xfrm>
          <a:off x="37440" y="4225690"/>
          <a:ext cx="7634190" cy="2687320"/>
          <a:chOff x="37440" y="4060590"/>
          <a:chExt cx="6967440" cy="2598420"/>
        </a:xfrm>
      </xdr:grpSpPr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">
            <xdr14:nvContentPartPr>
              <xdr14:cNvPr id="32" name="Ink 31">
                <a:extLst>
                  <a:ext uri="{FF2B5EF4-FFF2-40B4-BE49-F238E27FC236}">
                    <a16:creationId xmlns:a16="http://schemas.microsoft.com/office/drawing/2014/main" id="{2D70448D-3CF3-459D-BFB7-8B7398F9DF72}"/>
                  </a:ext>
                </a:extLst>
              </xdr14:cNvPr>
              <xdr14:cNvContentPartPr/>
            </xdr14:nvContentPartPr>
            <xdr14:nvPr macro=""/>
            <xdr14:xfrm>
              <a:off x="723600" y="4060590"/>
              <a:ext cx="5337360" cy="1179720"/>
            </xdr14:xfrm>
          </xdr14:contentPart>
        </mc:Choice>
        <mc:Fallback xmlns="">
          <xdr:pic>
            <xdr:nvPicPr>
              <xdr:cNvPr id="32" name="Ink 31">
                <a:extLst>
                  <a:ext uri="{FF2B5EF4-FFF2-40B4-BE49-F238E27FC236}">
                    <a16:creationId xmlns:a16="http://schemas.microsoft.com/office/drawing/2014/main" id="{2D70448D-3CF3-459D-BFB7-8B7398F9DF7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705600" y="4042950"/>
                <a:ext cx="5373000" cy="12153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">
            <xdr14:nvContentPartPr>
              <xdr14:cNvPr id="41" name="Ink 40">
                <a:extLst>
                  <a:ext uri="{FF2B5EF4-FFF2-40B4-BE49-F238E27FC236}">
                    <a16:creationId xmlns:a16="http://schemas.microsoft.com/office/drawing/2014/main" id="{AB5EE961-6407-4AA5-B8C2-8BFB44A9EA37}"/>
                  </a:ext>
                </a:extLst>
              </xdr14:cNvPr>
              <xdr14:cNvContentPartPr/>
            </xdr14:nvContentPartPr>
            <xdr14:nvPr macro=""/>
            <xdr14:xfrm>
              <a:off x="3740040" y="5308360"/>
              <a:ext cx="3264840" cy="1155240"/>
            </xdr14:xfrm>
          </xdr14:contentPart>
        </mc:Choice>
        <mc:Fallback xmlns="">
          <xdr:pic>
            <xdr:nvPicPr>
              <xdr:cNvPr id="41" name="Ink 40">
                <a:extLst>
                  <a:ext uri="{FF2B5EF4-FFF2-40B4-BE49-F238E27FC236}">
                    <a16:creationId xmlns:a16="http://schemas.microsoft.com/office/drawing/2014/main" id="{AB5EE961-6407-4AA5-B8C2-8BFB44A9EA3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3722040" y="5290715"/>
                <a:ext cx="3300480" cy="119089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">
            <xdr14:nvContentPartPr>
              <xdr14:cNvPr id="42" name="Ink 41">
                <a:extLst>
                  <a:ext uri="{FF2B5EF4-FFF2-40B4-BE49-F238E27FC236}">
                    <a16:creationId xmlns:a16="http://schemas.microsoft.com/office/drawing/2014/main" id="{397CF852-D100-4BC1-B0A3-512C2172730C}"/>
                  </a:ext>
                </a:extLst>
              </xdr14:cNvPr>
              <xdr14:cNvContentPartPr/>
            </xdr14:nvContentPartPr>
            <xdr14:nvPr macro=""/>
            <xdr14:xfrm>
              <a:off x="37440" y="4831870"/>
              <a:ext cx="559800" cy="1037160"/>
            </xdr14:xfrm>
          </xdr14:contentPart>
        </mc:Choice>
        <mc:Fallback xmlns="">
          <xdr:pic>
            <xdr:nvPicPr>
              <xdr:cNvPr id="42" name="Ink 41">
                <a:extLst>
                  <a:ext uri="{FF2B5EF4-FFF2-40B4-BE49-F238E27FC236}">
                    <a16:creationId xmlns:a16="http://schemas.microsoft.com/office/drawing/2014/main" id="{397CF852-D100-4BC1-B0A3-512C2172730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19440" y="4813870"/>
                <a:ext cx="595440" cy="1072800"/>
              </a:xfrm>
              <a:prstGeom prst="rect">
                <a:avLst/>
              </a:prstGeom>
            </xdr:spPr>
          </xdr:pic>
        </mc:Fallback>
      </mc:AlternateContent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E7553888-AF3F-4C2E-8490-91185DA1BB90}"/>
              </a:ext>
            </a:extLst>
          </xdr:cNvPr>
          <xdr:cNvSpPr txBox="1"/>
        </xdr:nvSpPr>
        <xdr:spPr>
          <a:xfrm rot="19988673">
            <a:off x="3722226" y="4343399"/>
            <a:ext cx="233448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6            7              8               9             10</a:t>
            </a:r>
          </a:p>
        </xdr:txBody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5815E7FD-B5AC-4770-AEDE-E8EB49B3C9AD}"/>
              </a:ext>
            </a:extLst>
          </xdr:cNvPr>
          <xdr:cNvSpPr txBox="1"/>
        </xdr:nvSpPr>
        <xdr:spPr>
          <a:xfrm rot="19627616">
            <a:off x="5588000" y="4191000"/>
            <a:ext cx="70108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Station B</a:t>
            </a:r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1FB49F71-FDF4-423B-BDFD-CFC04E524693}"/>
              </a:ext>
            </a:extLst>
          </xdr:cNvPr>
          <xdr:cNvSpPr txBox="1"/>
        </xdr:nvSpPr>
        <xdr:spPr>
          <a:xfrm rot="1012510">
            <a:off x="6299969" y="6394450"/>
            <a:ext cx="69955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Station C</a:t>
            </a:r>
          </a:p>
        </xdr:txBody>
      </xdr:sp>
    </xdr:grpSp>
    <xdr:clientData/>
  </xdr:twoCellAnchor>
  <xdr:twoCellAnchor editAs="oneCell">
    <xdr:from>
      <xdr:col>0</xdr:col>
      <xdr:colOff>0</xdr:colOff>
      <xdr:row>16</xdr:row>
      <xdr:rowOff>138739</xdr:rowOff>
    </xdr:from>
    <xdr:to>
      <xdr:col>13</xdr:col>
      <xdr:colOff>400050</xdr:colOff>
      <xdr:row>36</xdr:row>
      <xdr:rowOff>142345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4798052-9C54-44AB-8502-D95F0D110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682039"/>
          <a:ext cx="9626600" cy="36866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380999</xdr:rowOff>
    </xdr:from>
    <xdr:to>
      <xdr:col>9</xdr:col>
      <xdr:colOff>556260</xdr:colOff>
      <xdr:row>44</xdr:row>
      <xdr:rowOff>28989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84199"/>
          <a:ext cx="6614160" cy="80807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358140</xdr:colOff>
      <xdr:row>3</xdr:row>
      <xdr:rowOff>128450</xdr:rowOff>
    </xdr:from>
    <xdr:to>
      <xdr:col>2</xdr:col>
      <xdr:colOff>22860</xdr:colOff>
      <xdr:row>5</xdr:row>
      <xdr:rowOff>30479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67740" y="890450"/>
          <a:ext cx="274320" cy="26778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259080</xdr:colOff>
      <xdr:row>32</xdr:row>
      <xdr:rowOff>174170</xdr:rowOff>
    </xdr:from>
    <xdr:to>
      <xdr:col>4</xdr:col>
      <xdr:colOff>533400</xdr:colOff>
      <xdr:row>34</xdr:row>
      <xdr:rowOff>76199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697480" y="6300650"/>
          <a:ext cx="274320" cy="26778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602962</xdr:colOff>
      <xdr:row>37</xdr:row>
      <xdr:rowOff>129540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5479762" cy="68961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190996</xdr:colOff>
      <xdr:row>36</xdr:row>
      <xdr:rowOff>76200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6286996" cy="6659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0-03T17:51:59.675"/>
    </inkml:context>
    <inkml:brush xml:id="br0">
      <inkml:brushProperty name="width" value="0.1" units="cm"/>
      <inkml:brushProperty name="height" value="0.1" units="cm"/>
      <inkml:brushProperty name="color" value="#004F8B"/>
      <inkml:brushProperty name="ignorePressure" value="1"/>
    </inkml:brush>
  </inkml:definitions>
  <inkml:trace contextRef="#ctx0" brushRef="#br0">1701 3366,'311'0,"-297"1,0 0,27 7,-25-5,-2 0,22 0,462-1,-243-4,-42 2,-197 0</inkml:trace>
  <inkml:trace contextRef="#ctx0" brushRef="#br0" timeOffset="2111.37">3498 3385,'1452'0,"-1437"0</inkml:trace>
  <inkml:trace contextRef="#ctx0" brushRef="#br0" timeOffset="3690.33">5489 3366,'1315'0,"-1298"0</inkml:trace>
  <inkml:trace contextRef="#ctx0" brushRef="#br0" timeOffset="5880.65">7324 3348,'1252'0,"-1237"1,-3 0,29 6,15 2,-40-9</inkml:trace>
  <inkml:trace contextRef="#ctx0" brushRef="#br0" timeOffset="8698.84">0 3348,'618'0,"-600"1,-1 0,26 6,-24-3,-2-2,24 2,14-5,-27 0,0 1,0 1,-1 2,29 6,-27-5,3 0,-2-2,0-1,41-3,0 0,6 2,-60 0</inkml:trace>
  <inkml:trace contextRef="#ctx0" brushRef="#br0" timeOffset="14544.8">9316 3184,'6'-1,"0"0,1 0,-2-1,1 0,-1 0,1 0,0-1,-1 1,1-1,-1 0,1-1,5-6,-5 5,2 0,-1 1,0 0,0 0,2 0,5-3,25-5,-2-2,67-33,-18 5,44-7,84-35,-193 77,41-11,-41 14,0-2,27-11,-21 6,1 1,0 0,50-9,-62 15,-3 0</inkml:trace>
  <inkml:trace contextRef="#ctx0" brushRef="#br0" timeOffset="15826.33">10688 2655,'1'-2,"-1"1,1-1,-1 1,1-1,-1 1,2-1,-1 1,0-1,1 1,-1 0,0-1,0 1,0 0,0 0,1-1,-1 1,0 0,3-1,33-16,-33 15,52-20,58-17,-95 32,115-43,-85 30,0 3,56-14,-57 20,-1-2,0-3,55-27,-88 37,1 2,-1 1,28-5,28-9,160-81,-81 32,-136 62</inkml:trace>
  <inkml:trace contextRef="#ctx0" brushRef="#br0" timeOffset="17031.64">12330 2016,'2'-1,"-2"-1,0 1,0 0,2 0,-2 0,1 0,-1-1,1 1,0 0,-1 0,1 0,0 0,0 0,-1 0,1 1,0-1,0 0,2-1,25-15,-13 9,30-19,77-34,-71 38,60-39,-78 43,3 1,52-20,-49 22,-2 0,37-23,-43 22,53-21,10-6,-36 9,-48 30</inkml:trace>
  <inkml:trace contextRef="#ctx0" brushRef="#br0" timeOffset="18376.25">13606 1342,'13'-1,"1"-2,-2 1,2-1,-1 0,-1-1,1 0,-2-1,15-8,-7 4,0 2,30-9,-16 5,1 0,-1-3,51-27,40-17,-59 30,76-44,3-4,-130 69,-2 0,0-1,16-11,-1-1,-22 16,1 1,2 0,-2 0,0 1,1 0,14-4,-15 5,1-1,1 1,-2-2,1 1,-1-1,1 1,10-7,29-21,-36 25</inkml:trace>
  <inkml:trace contextRef="#ctx0" brushRef="#br0" timeOffset="20112.79">15075 648,'5'-1,"-2"0,1 0,-1 0,0 0,-1-1,2 1,-1-1,0 0,-1 1,2-1,-2-2,0 2,5-4,3-3,7-3,0 2,1 0,-2 1,34-12,-30 14,0-3,-1 1,32-21,-28 16,1-1,51-21,-16 7,67-45,30-5,-99 52,-40 20,-1 0,1-2,-3 1,2-1,-2-2,21-16,-26 20,0 0,1 1,-2 1,3-1,-2 0,18-4,24-14,-40 17,5-1,-1-2,0 1,21-20,-28 22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0-03T17:52:26.623"/>
    </inkml:context>
    <inkml:brush xml:id="br0">
      <inkml:brushProperty name="width" value="0.1" units="cm"/>
      <inkml:brushProperty name="height" value="0.1" units="cm"/>
      <inkml:brushProperty name="color" value="#004F8B"/>
      <inkml:brushProperty name="ignorePressure" value="1"/>
    </inkml:brush>
  </inkml:definitions>
  <inkml:trace contextRef="#ctx0" brushRef="#br0">0 1,'5'1,"0"0,1 1,-1 0,-1 0,1 0,0 0,0 2,-1-2,0 1,7 7,1-2,342 225,-248-175,23 13,-93-48,84 49,-12-9,-51-30,76 35,-98-51,38 24,20 10,-30-27,-43-17,1 1,31 18,-28-9,-13-10,-1-1,2 0,-2 0,2 0,-1-2,15 5,-23-9,-1 1,0 0,0-1,0 1,1 0,-1 1,0-1,1 0,1 2,4 6</inkml:trace>
  <inkml:trace contextRef="#ctx0" brushRef="#br0" timeOffset="1441.7">1972 1041,'10'1,"0"1,0 1,0-1,0 1,-1 1,0 0,1 1,-1 0,10 5,11 7,245 100,-239-103,0 1,500 178,-519-188,68 18,100 41,-147-41,-33-18,5 2</inkml:trace>
  <inkml:trace contextRef="#ctx0" brushRef="#br0" timeOffset="2595.19">3866 1770,'10'2,"2"-1,-2 1,1 0,-1 0,15 6,14 3,114 26,166 41,347 76,-549-124,31 5,-124-31</inkml:trace>
  <inkml:trace contextRef="#ctx0" brushRef="#br0" timeOffset="4113.38">5972 2281,'7'1,"1"0,-1 0,0 1,-1-1,2 2,-1-1,-1 2,8 2,14 6,38 8,0-4,82 12,-75-15,33 5,7 2,168 48,-7 3,-256-67,6 2,-1 1,0 1,26 14,-22-10,13 3,0-2,63 12,9 3,-94-23</inkml:trace>
  <inkml:trace contextRef="#ctx0" brushRef="#br0" timeOffset="5566.46">8059 2846,'48'-1,"-1"3,1 2,0 1,53 13,427 92,-197-40,-254-47,1 3,82 39,-13 3,-123-57,1 0,0-2,52 11,9 4,-73-20,1-1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0-03T17:53:30.589"/>
    </inkml:context>
    <inkml:brush xml:id="br0">
      <inkml:brushProperty name="width" value="0.1" units="cm"/>
      <inkml:brushProperty name="height" value="0.1" units="cm"/>
      <inkml:brushProperty name="color" value="#004F8B"/>
      <inkml:brushProperty name="ignorePressure" value="1"/>
    </inkml:brush>
  </inkml:definitions>
  <inkml:trace contextRef="#ctx0" brushRef="#br0">1663 1097,'2'-133,"-4"-144,0 266,0 0,-1-2,0 2,0-1,-3 2,1-1,1 0,-11-11,-15-42,21 46,-1 0,0 2,0-2,-3 3,1-1,-24-22,5 4,13 15,0 1,-1 1,-42-28,-71-35,120 74,-29-16,-3 3,0 0,-1 4,0 0,-1 3,-96-15,95 20,12 0,-1 2,1 2,-64 1,89 5,0-1,1 1,-1 1,0 1,1-1,0 0,1 1,-2 0,-13 14,12-9,0 0,0 2,1 0,-13 19,-10 13,23-32,1 0,-1 2,3 0,0 0,-1 0,-6 24,-21 96,20-63,-25 130,37-161,3 50,1-56,-2 0,-6 53,-8-24,-38 101,-6 48,51-181,-4 31,3-1,1 1,4 65,5-97,2 0,1 0,3 0,11 41,50 112,-53-144,43 85,-34-76,29 78,-41-94,1-2,3 2,-1-2,40 48,-1 5,-45-70,1 1,1-1,-1-1,3 0,-1 0,1-2,0 2,22 11,10 1,71 33,-107-54,1 0,-2 1,3-2,-3 0,3-1,16 1,-1-2,33-3,-52 2,1 0,-2-1,0-1,2 1,-2 0,-1-1,1 0,1 0,-1 0,9-8,6-6,26-27,-21 19,11-12,47-63,21-23,-86 103,-2-2,-1-2,25-42,-9 14,-23 38,-2-1,1 1,-1-1,-2 0,1-1,-2 1,-1-1,0 0,2-28,3-16,1-15,-7 45,3 0,2 0,-1 0,22-52,-16 53,-3 0,1-1,-4 0,6-49,-2 16,-7 47,4-34,-6 33,2 0,0-1,2 1,0 0,8-19,-2 10,4-27,-8 32,13-37,-13 44,-2 1,0-1,-2-1,2 1,-2-1,1-20,-5-184,1 203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/>
  </sheetViews>
  <sheetFormatPr baseColWidth="10" defaultColWidth="8.83203125" defaultRowHeight="16" x14ac:dyDescent="0.2"/>
  <cols>
    <col min="1" max="1" width="31.6640625" style="6" customWidth="1"/>
    <col min="2" max="2" width="13.6640625" style="6" bestFit="1" customWidth="1"/>
    <col min="3" max="16384" width="8.83203125" style="6"/>
  </cols>
  <sheetData>
    <row r="1" spans="1:7" x14ac:dyDescent="0.2">
      <c r="A1" s="13" t="s">
        <v>63</v>
      </c>
      <c r="B1" s="14"/>
      <c r="C1" s="14"/>
      <c r="D1" s="13"/>
      <c r="E1" s="13"/>
      <c r="F1" s="13"/>
      <c r="G1" s="13"/>
    </row>
    <row r="3" spans="1:7" x14ac:dyDescent="0.2">
      <c r="A3" s="6" t="s">
        <v>6</v>
      </c>
    </row>
    <row r="4" spans="1:7" x14ac:dyDescent="0.2">
      <c r="B4" s="8"/>
    </row>
    <row r="5" spans="1:7" x14ac:dyDescent="0.2">
      <c r="A5" s="6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F08DD-D3F3-4876-AD25-C71E6A86591A}">
  <sheetPr codeName="Sheet2"/>
  <dimension ref="A1:J26"/>
  <sheetViews>
    <sheetView workbookViewId="0">
      <selection activeCell="O10" sqref="O10"/>
    </sheetView>
  </sheetViews>
  <sheetFormatPr baseColWidth="10" defaultColWidth="8.83203125" defaultRowHeight="15" x14ac:dyDescent="0.2"/>
  <cols>
    <col min="7" max="7" width="24.33203125" bestFit="1" customWidth="1"/>
    <col min="8" max="8" width="10" customWidth="1"/>
    <col min="9" max="9" width="10.5" customWidth="1"/>
  </cols>
  <sheetData>
    <row r="1" spans="1:10" ht="51" x14ac:dyDescent="0.2">
      <c r="A1" s="4" t="s">
        <v>1</v>
      </c>
      <c r="B1" s="4" t="s">
        <v>7</v>
      </c>
      <c r="C1" s="2" t="s">
        <v>0</v>
      </c>
      <c r="D1" s="2" t="s">
        <v>3</v>
      </c>
      <c r="E1" s="2" t="s">
        <v>4</v>
      </c>
      <c r="F1" s="2" t="s">
        <v>43</v>
      </c>
      <c r="G1" s="4" t="s">
        <v>11</v>
      </c>
      <c r="H1" s="1"/>
      <c r="I1" s="7" t="s">
        <v>36</v>
      </c>
      <c r="J1" s="7" t="s">
        <v>37</v>
      </c>
    </row>
    <row r="2" spans="1:10" ht="16" x14ac:dyDescent="0.2">
      <c r="A2" s="3" t="s">
        <v>81</v>
      </c>
      <c r="B2" s="3" t="s">
        <v>8</v>
      </c>
      <c r="C2" s="5">
        <v>1</v>
      </c>
      <c r="D2" s="3">
        <v>50</v>
      </c>
      <c r="E2" s="3">
        <v>0</v>
      </c>
      <c r="F2" s="3">
        <v>50</v>
      </c>
      <c r="G2" s="3"/>
      <c r="H2" s="1"/>
      <c r="I2" s="12">
        <f>E2*D2/100</f>
        <v>0</v>
      </c>
      <c r="J2" s="12">
        <f>I2</f>
        <v>0</v>
      </c>
    </row>
    <row r="3" spans="1:10" ht="16" x14ac:dyDescent="0.2">
      <c r="A3" s="3" t="str">
        <f>A2</f>
        <v>Blue</v>
      </c>
      <c r="B3" s="3" t="s">
        <v>8</v>
      </c>
      <c r="C3" s="3">
        <v>2</v>
      </c>
      <c r="D3" s="3">
        <v>50</v>
      </c>
      <c r="E3" s="3">
        <v>0</v>
      </c>
      <c r="F3" s="3">
        <v>50</v>
      </c>
      <c r="G3" s="3"/>
      <c r="H3" s="1"/>
      <c r="I3" s="12">
        <f t="shared" ref="I3:I6" si="0">E3*D3/100</f>
        <v>0</v>
      </c>
      <c r="J3" s="12">
        <f>I3+J2</f>
        <v>0</v>
      </c>
    </row>
    <row r="4" spans="1:10" ht="16" x14ac:dyDescent="0.2">
      <c r="A4" s="3" t="str">
        <f t="shared" ref="A4:A16" si="1">A3</f>
        <v>Blue</v>
      </c>
      <c r="B4" s="3" t="s">
        <v>8</v>
      </c>
      <c r="C4" s="3">
        <v>3</v>
      </c>
      <c r="D4" s="3">
        <v>50</v>
      </c>
      <c r="E4" s="3">
        <v>0</v>
      </c>
      <c r="F4" s="3">
        <v>50</v>
      </c>
      <c r="G4" s="3"/>
      <c r="H4" s="1"/>
      <c r="I4" s="12">
        <f t="shared" si="0"/>
        <v>0</v>
      </c>
      <c r="J4" s="12">
        <f t="shared" ref="J4:J6" si="2">I4+J3</f>
        <v>0</v>
      </c>
    </row>
    <row r="5" spans="1:10" ht="16" x14ac:dyDescent="0.2">
      <c r="A5" s="3" t="str">
        <f t="shared" si="1"/>
        <v>Blue</v>
      </c>
      <c r="B5" s="3" t="s">
        <v>8</v>
      </c>
      <c r="C5" s="5">
        <v>4</v>
      </c>
      <c r="D5" s="3">
        <v>50</v>
      </c>
      <c r="E5" s="3">
        <v>0</v>
      </c>
      <c r="F5" s="3">
        <v>50</v>
      </c>
      <c r="G5" s="3"/>
      <c r="H5" s="1"/>
      <c r="I5" s="12">
        <f t="shared" si="0"/>
        <v>0</v>
      </c>
      <c r="J5" s="12">
        <f t="shared" si="2"/>
        <v>0</v>
      </c>
    </row>
    <row r="6" spans="1:10" ht="16" x14ac:dyDescent="0.2">
      <c r="A6" s="3" t="str">
        <f t="shared" si="1"/>
        <v>Blue</v>
      </c>
      <c r="B6" s="3" t="s">
        <v>8</v>
      </c>
      <c r="C6" s="3">
        <v>5</v>
      </c>
      <c r="D6" s="3">
        <v>50</v>
      </c>
      <c r="E6" s="3">
        <v>0</v>
      </c>
      <c r="F6" s="3">
        <v>50</v>
      </c>
      <c r="G6" s="22" t="s">
        <v>83</v>
      </c>
      <c r="H6" s="1"/>
      <c r="I6" s="12">
        <f t="shared" si="0"/>
        <v>0</v>
      </c>
      <c r="J6" s="12">
        <f t="shared" si="2"/>
        <v>0</v>
      </c>
    </row>
    <row r="7" spans="1:10" ht="16" x14ac:dyDescent="0.2">
      <c r="A7" s="3" t="str">
        <f t="shared" si="1"/>
        <v>Blue</v>
      </c>
      <c r="B7" s="3" t="s">
        <v>9</v>
      </c>
      <c r="C7" s="3">
        <v>6</v>
      </c>
      <c r="D7" s="3">
        <v>50</v>
      </c>
      <c r="E7" s="3">
        <v>0</v>
      </c>
      <c r="F7" s="3">
        <v>50</v>
      </c>
      <c r="G7" s="3" t="s">
        <v>82</v>
      </c>
      <c r="H7" s="1"/>
      <c r="I7" s="12">
        <f t="shared" ref="I7:I16" si="3">E7*D7/100</f>
        <v>0</v>
      </c>
      <c r="J7" s="12">
        <f t="shared" ref="J7:J16" si="4">I7+J6</f>
        <v>0</v>
      </c>
    </row>
    <row r="8" spans="1:10" ht="16" x14ac:dyDescent="0.2">
      <c r="A8" s="3" t="str">
        <f t="shared" si="1"/>
        <v>Blue</v>
      </c>
      <c r="B8" s="3" t="s">
        <v>9</v>
      </c>
      <c r="C8" s="5">
        <v>7</v>
      </c>
      <c r="D8" s="3">
        <v>50</v>
      </c>
      <c r="E8" s="3">
        <v>0</v>
      </c>
      <c r="F8" s="3">
        <v>50</v>
      </c>
      <c r="G8" s="3"/>
      <c r="H8" s="1"/>
      <c r="I8" s="12">
        <f t="shared" si="3"/>
        <v>0</v>
      </c>
      <c r="J8" s="12">
        <f t="shared" si="4"/>
        <v>0</v>
      </c>
    </row>
    <row r="9" spans="1:10" ht="16" x14ac:dyDescent="0.2">
      <c r="A9" s="3" t="str">
        <f t="shared" si="1"/>
        <v>Blue</v>
      </c>
      <c r="B9" s="3" t="s">
        <v>9</v>
      </c>
      <c r="C9" s="3">
        <v>8</v>
      </c>
      <c r="D9" s="3">
        <v>50</v>
      </c>
      <c r="E9" s="3">
        <v>0</v>
      </c>
      <c r="F9" s="3">
        <v>50</v>
      </c>
      <c r="G9" s="3"/>
      <c r="H9" s="1"/>
      <c r="I9" s="12">
        <f t="shared" si="3"/>
        <v>0</v>
      </c>
      <c r="J9" s="12">
        <f t="shared" si="4"/>
        <v>0</v>
      </c>
    </row>
    <row r="10" spans="1:10" ht="16" x14ac:dyDescent="0.2">
      <c r="A10" s="3" t="str">
        <f t="shared" si="1"/>
        <v>Blue</v>
      </c>
      <c r="B10" s="3" t="s">
        <v>9</v>
      </c>
      <c r="C10" s="3">
        <v>9</v>
      </c>
      <c r="D10" s="3">
        <v>50</v>
      </c>
      <c r="E10" s="3">
        <v>0</v>
      </c>
      <c r="F10" s="3">
        <v>50</v>
      </c>
      <c r="G10" s="3"/>
      <c r="H10" s="1"/>
      <c r="I10" s="12">
        <f t="shared" si="3"/>
        <v>0</v>
      </c>
      <c r="J10" s="12">
        <f t="shared" si="4"/>
        <v>0</v>
      </c>
    </row>
    <row r="11" spans="1:10" ht="16" x14ac:dyDescent="0.2">
      <c r="A11" s="3" t="str">
        <f t="shared" si="1"/>
        <v>Blue</v>
      </c>
      <c r="B11" s="3" t="s">
        <v>9</v>
      </c>
      <c r="C11" s="5">
        <v>10</v>
      </c>
      <c r="D11" s="3">
        <v>50</v>
      </c>
      <c r="E11" s="3">
        <v>0</v>
      </c>
      <c r="F11" s="3">
        <v>50</v>
      </c>
      <c r="G11" s="3" t="s">
        <v>86</v>
      </c>
      <c r="H11" s="1"/>
      <c r="I11" s="12">
        <f t="shared" si="3"/>
        <v>0</v>
      </c>
      <c r="J11" s="12">
        <f t="shared" si="4"/>
        <v>0</v>
      </c>
    </row>
    <row r="12" spans="1:10" ht="16" x14ac:dyDescent="0.2">
      <c r="A12" s="3" t="str">
        <f t="shared" si="1"/>
        <v>Blue</v>
      </c>
      <c r="B12" s="3" t="s">
        <v>10</v>
      </c>
      <c r="C12" s="3">
        <v>11</v>
      </c>
      <c r="D12" s="3">
        <v>50</v>
      </c>
      <c r="E12" s="3">
        <v>0</v>
      </c>
      <c r="F12" s="3">
        <v>50</v>
      </c>
      <c r="G12" s="3" t="s">
        <v>84</v>
      </c>
      <c r="H12" s="1"/>
      <c r="I12" s="12">
        <f t="shared" si="3"/>
        <v>0</v>
      </c>
      <c r="J12" s="12">
        <f t="shared" si="4"/>
        <v>0</v>
      </c>
    </row>
    <row r="13" spans="1:10" ht="16" x14ac:dyDescent="0.2">
      <c r="A13" s="3" t="str">
        <f t="shared" si="1"/>
        <v>Blue</v>
      </c>
      <c r="B13" s="3" t="s">
        <v>10</v>
      </c>
      <c r="C13" s="3">
        <v>12</v>
      </c>
      <c r="D13" s="3">
        <v>50</v>
      </c>
      <c r="E13" s="3">
        <v>0</v>
      </c>
      <c r="F13" s="3">
        <v>50</v>
      </c>
      <c r="G13" s="3"/>
      <c r="H13" s="1"/>
      <c r="I13" s="12">
        <f t="shared" si="3"/>
        <v>0</v>
      </c>
      <c r="J13" s="12">
        <f t="shared" si="4"/>
        <v>0</v>
      </c>
    </row>
    <row r="14" spans="1:10" ht="16" x14ac:dyDescent="0.2">
      <c r="A14" s="3" t="str">
        <f t="shared" si="1"/>
        <v>Blue</v>
      </c>
      <c r="B14" s="3" t="s">
        <v>10</v>
      </c>
      <c r="C14" s="5">
        <v>13</v>
      </c>
      <c r="D14" s="3">
        <v>50</v>
      </c>
      <c r="E14" s="3">
        <v>0</v>
      </c>
      <c r="F14" s="3">
        <v>50</v>
      </c>
      <c r="G14" s="3"/>
      <c r="H14" s="1"/>
      <c r="I14" s="12">
        <f t="shared" si="3"/>
        <v>0</v>
      </c>
      <c r="J14" s="12">
        <f t="shared" si="4"/>
        <v>0</v>
      </c>
    </row>
    <row r="15" spans="1:10" ht="16" x14ac:dyDescent="0.2">
      <c r="A15" s="3" t="str">
        <f t="shared" si="1"/>
        <v>Blue</v>
      </c>
      <c r="B15" s="3" t="s">
        <v>10</v>
      </c>
      <c r="C15" s="3">
        <v>14</v>
      </c>
      <c r="D15" s="3">
        <v>50</v>
      </c>
      <c r="E15" s="3">
        <v>0</v>
      </c>
      <c r="F15" s="3">
        <v>50</v>
      </c>
      <c r="G15" s="3"/>
      <c r="H15" s="1"/>
      <c r="I15" s="12">
        <f t="shared" si="3"/>
        <v>0</v>
      </c>
      <c r="J15" s="12">
        <f t="shared" si="4"/>
        <v>0</v>
      </c>
    </row>
    <row r="16" spans="1:10" ht="16" x14ac:dyDescent="0.2">
      <c r="A16" s="3" t="str">
        <f t="shared" si="1"/>
        <v>Blue</v>
      </c>
      <c r="B16" s="3" t="s">
        <v>10</v>
      </c>
      <c r="C16" s="3">
        <v>15</v>
      </c>
      <c r="D16" s="3">
        <v>50</v>
      </c>
      <c r="E16" s="3">
        <v>0</v>
      </c>
      <c r="F16" s="3">
        <v>50</v>
      </c>
      <c r="G16" s="3" t="s">
        <v>85</v>
      </c>
      <c r="H16" s="1"/>
      <c r="I16" s="12">
        <f t="shared" si="3"/>
        <v>0</v>
      </c>
      <c r="J16" s="12">
        <f t="shared" si="4"/>
        <v>0</v>
      </c>
    </row>
    <row r="21" spans="1:9" x14ac:dyDescent="0.2">
      <c r="I21" s="17"/>
    </row>
    <row r="25" spans="1:9" x14ac:dyDescent="0.2">
      <c r="B25" s="16">
        <v>1</v>
      </c>
      <c r="C25" s="16">
        <v>2</v>
      </c>
      <c r="D25" s="16">
        <v>3</v>
      </c>
      <c r="E25" s="16">
        <v>4</v>
      </c>
      <c r="F25" s="16">
        <v>5</v>
      </c>
    </row>
    <row r="26" spans="1:9" x14ac:dyDescent="0.2">
      <c r="A26" s="16" t="s">
        <v>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M154"/>
  <sheetViews>
    <sheetView tabSelected="1" zoomScaleNormal="100" workbookViewId="0">
      <pane ySplit="1" topLeftCell="A16" activePane="bottomLeft" state="frozen"/>
      <selection pane="bottomLeft" activeCell="F156" sqref="F156"/>
    </sheetView>
  </sheetViews>
  <sheetFormatPr baseColWidth="10" defaultColWidth="8.83203125" defaultRowHeight="16" x14ac:dyDescent="0.2"/>
  <cols>
    <col min="1" max="1" width="8.83203125" style="3"/>
    <col min="2" max="2" width="12.83203125" style="3" customWidth="1"/>
    <col min="3" max="3" width="8.5" style="3" customWidth="1"/>
    <col min="4" max="4" width="11" style="3" customWidth="1"/>
    <col min="5" max="5" width="10.5" style="3" customWidth="1"/>
    <col min="6" max="6" width="13.33203125" style="3" customWidth="1"/>
    <col min="7" max="7" width="43" style="3" customWidth="1"/>
    <col min="8" max="8" width="11" style="3" customWidth="1"/>
    <col min="9" max="9" width="19" style="1" bestFit="1" customWidth="1"/>
    <col min="10" max="10" width="29.5" style="1" bestFit="1" customWidth="1"/>
    <col min="11" max="12" width="8.83203125" style="1"/>
    <col min="13" max="13" width="11.5" style="1" customWidth="1"/>
    <col min="14" max="16384" width="8.83203125" style="1"/>
  </cols>
  <sheetData>
    <row r="1" spans="1:13" ht="38" customHeight="1" x14ac:dyDescent="0.2">
      <c r="A1" s="4" t="s">
        <v>1</v>
      </c>
      <c r="B1" s="4" t="s">
        <v>7</v>
      </c>
      <c r="C1" s="2" t="s">
        <v>0</v>
      </c>
      <c r="D1" s="2" t="s">
        <v>3</v>
      </c>
      <c r="E1" s="2" t="s">
        <v>4</v>
      </c>
      <c r="F1" s="2" t="s">
        <v>43</v>
      </c>
      <c r="G1" s="4" t="s">
        <v>11</v>
      </c>
      <c r="H1" s="4" t="s">
        <v>88</v>
      </c>
      <c r="I1" s="4" t="s">
        <v>36</v>
      </c>
      <c r="J1" s="4" t="s">
        <v>37</v>
      </c>
      <c r="K1" s="4" t="s">
        <v>94</v>
      </c>
    </row>
    <row r="2" spans="1:13" hidden="1" x14ac:dyDescent="0.2">
      <c r="A2" s="3" t="s">
        <v>12</v>
      </c>
      <c r="B2" s="3" t="s">
        <v>8</v>
      </c>
      <c r="C2" s="5">
        <v>1</v>
      </c>
      <c r="D2" s="3">
        <v>50</v>
      </c>
      <c r="E2" s="3">
        <v>0.5</v>
      </c>
      <c r="F2" s="3">
        <v>40</v>
      </c>
      <c r="I2" s="12">
        <f>E2*D2/100</f>
        <v>0.25</v>
      </c>
      <c r="J2" s="12">
        <f>I2</f>
        <v>0.25</v>
      </c>
      <c r="K2" s="3"/>
      <c r="M2" s="23"/>
    </row>
    <row r="3" spans="1:13" hidden="1" x14ac:dyDescent="0.2">
      <c r="A3" s="3" t="str">
        <f>A2</f>
        <v>Red</v>
      </c>
      <c r="B3" s="3" t="s">
        <v>8</v>
      </c>
      <c r="C3" s="3">
        <v>2</v>
      </c>
      <c r="D3" s="3">
        <v>50</v>
      </c>
      <c r="E3" s="3">
        <v>1</v>
      </c>
      <c r="F3" s="3">
        <v>40</v>
      </c>
      <c r="I3" s="12">
        <f t="shared" ref="I3:I66" si="0">E3*D3/100</f>
        <v>0.5</v>
      </c>
      <c r="J3" s="12">
        <f>I3+J2</f>
        <v>0.75</v>
      </c>
      <c r="K3" s="3"/>
    </row>
    <row r="4" spans="1:13" hidden="1" x14ac:dyDescent="0.2">
      <c r="A4" s="3" t="str">
        <f t="shared" ref="A4:A70" si="1">A3</f>
        <v>Red</v>
      </c>
      <c r="B4" s="3" t="s">
        <v>8</v>
      </c>
      <c r="C4" s="3">
        <v>3</v>
      </c>
      <c r="D4" s="3">
        <v>50</v>
      </c>
      <c r="E4" s="3">
        <v>1.5</v>
      </c>
      <c r="F4" s="3">
        <v>40</v>
      </c>
      <c r="I4" s="12">
        <f t="shared" si="0"/>
        <v>0.75</v>
      </c>
      <c r="J4" s="12">
        <f t="shared" ref="J4:J67" si="2">I4+J3</f>
        <v>1.5</v>
      </c>
      <c r="L4" s="9"/>
    </row>
    <row r="5" spans="1:13" hidden="1" x14ac:dyDescent="0.2">
      <c r="A5" s="3" t="str">
        <f t="shared" si="1"/>
        <v>Red</v>
      </c>
      <c r="B5" s="3" t="s">
        <v>9</v>
      </c>
      <c r="C5" s="5">
        <v>4</v>
      </c>
      <c r="D5" s="3">
        <v>50</v>
      </c>
      <c r="E5" s="3">
        <v>2</v>
      </c>
      <c r="F5" s="3">
        <v>40</v>
      </c>
      <c r="I5" s="12">
        <f t="shared" si="0"/>
        <v>1</v>
      </c>
      <c r="J5" s="12">
        <f t="shared" si="2"/>
        <v>2.5</v>
      </c>
    </row>
    <row r="6" spans="1:13" hidden="1" x14ac:dyDescent="0.2">
      <c r="A6" s="3" t="str">
        <f t="shared" si="1"/>
        <v>Red</v>
      </c>
      <c r="B6" s="3" t="s">
        <v>9</v>
      </c>
      <c r="C6" s="3">
        <v>5</v>
      </c>
      <c r="D6" s="3">
        <v>50</v>
      </c>
      <c r="E6" s="3">
        <v>1.5</v>
      </c>
      <c r="F6" s="3">
        <v>40</v>
      </c>
      <c r="I6" s="12">
        <f t="shared" si="0"/>
        <v>0.75</v>
      </c>
      <c r="J6" s="12">
        <f t="shared" si="2"/>
        <v>3.25</v>
      </c>
    </row>
    <row r="7" spans="1:13" hidden="1" x14ac:dyDescent="0.2">
      <c r="A7" s="3" t="str">
        <f t="shared" si="1"/>
        <v>Red</v>
      </c>
      <c r="B7" s="3" t="s">
        <v>9</v>
      </c>
      <c r="C7" s="3">
        <v>6</v>
      </c>
      <c r="D7" s="3">
        <v>50</v>
      </c>
      <c r="E7" s="3">
        <v>1</v>
      </c>
      <c r="F7" s="3">
        <v>40</v>
      </c>
      <c r="I7" s="12">
        <f t="shared" si="0"/>
        <v>0.5</v>
      </c>
      <c r="J7" s="12">
        <f t="shared" si="2"/>
        <v>3.75</v>
      </c>
    </row>
    <row r="8" spans="1:13" ht="17" x14ac:dyDescent="0.2">
      <c r="A8" s="3" t="str">
        <f t="shared" si="1"/>
        <v>Red</v>
      </c>
      <c r="B8" s="3" t="s">
        <v>10</v>
      </c>
      <c r="C8" s="5">
        <v>7</v>
      </c>
      <c r="D8" s="3">
        <v>75</v>
      </c>
      <c r="E8" s="3">
        <v>0.5</v>
      </c>
      <c r="F8" s="3">
        <v>40</v>
      </c>
      <c r="G8" s="11" t="s">
        <v>38</v>
      </c>
      <c r="H8" s="3" t="s">
        <v>90</v>
      </c>
      <c r="I8" s="12">
        <f t="shared" si="0"/>
        <v>0.375</v>
      </c>
      <c r="J8" s="12">
        <f t="shared" si="2"/>
        <v>4.125</v>
      </c>
      <c r="K8" s="1" t="b">
        <v>1</v>
      </c>
    </row>
    <row r="9" spans="1:13" hidden="1" x14ac:dyDescent="0.2">
      <c r="A9" s="3" t="str">
        <f t="shared" si="1"/>
        <v>Red</v>
      </c>
      <c r="B9" s="3" t="s">
        <v>10</v>
      </c>
      <c r="C9" s="3">
        <v>8</v>
      </c>
      <c r="D9" s="3">
        <v>75</v>
      </c>
      <c r="E9" s="3">
        <v>0</v>
      </c>
      <c r="F9" s="3">
        <v>40</v>
      </c>
      <c r="I9" s="12">
        <f t="shared" si="0"/>
        <v>0</v>
      </c>
      <c r="J9" s="12">
        <f t="shared" si="2"/>
        <v>4.125</v>
      </c>
    </row>
    <row r="10" spans="1:13" ht="17" x14ac:dyDescent="0.2">
      <c r="A10" s="3" t="str">
        <f t="shared" si="1"/>
        <v>Red</v>
      </c>
      <c r="B10" s="3" t="s">
        <v>10</v>
      </c>
      <c r="C10" s="3">
        <v>9</v>
      </c>
      <c r="D10" s="3">
        <v>75</v>
      </c>
      <c r="E10" s="3">
        <v>0</v>
      </c>
      <c r="F10" s="3">
        <v>40</v>
      </c>
      <c r="G10" s="11" t="s">
        <v>70</v>
      </c>
      <c r="I10" s="12">
        <f t="shared" si="0"/>
        <v>0</v>
      </c>
      <c r="J10" s="12">
        <f t="shared" si="2"/>
        <v>4.125</v>
      </c>
      <c r="K10" s="1" t="b">
        <v>1</v>
      </c>
    </row>
    <row r="11" spans="1:13" hidden="1" x14ac:dyDescent="0.2">
      <c r="A11" s="3" t="str">
        <f t="shared" si="1"/>
        <v>Red</v>
      </c>
      <c r="B11" s="3" t="s">
        <v>13</v>
      </c>
      <c r="C11" s="5">
        <v>10</v>
      </c>
      <c r="D11" s="3">
        <v>75</v>
      </c>
      <c r="E11" s="3">
        <v>0</v>
      </c>
      <c r="F11" s="3">
        <v>40</v>
      </c>
      <c r="I11" s="12">
        <f t="shared" si="0"/>
        <v>0</v>
      </c>
      <c r="J11" s="12">
        <f t="shared" si="2"/>
        <v>4.125</v>
      </c>
    </row>
    <row r="12" spans="1:13" hidden="1" x14ac:dyDescent="0.2">
      <c r="A12" s="3" t="str">
        <f t="shared" si="1"/>
        <v>Red</v>
      </c>
      <c r="B12" s="3" t="s">
        <v>13</v>
      </c>
      <c r="C12" s="3">
        <v>11</v>
      </c>
      <c r="D12" s="3">
        <v>75</v>
      </c>
      <c r="E12" s="3">
        <v>-0.5</v>
      </c>
      <c r="F12" s="3">
        <v>40</v>
      </c>
      <c r="I12" s="12">
        <f t="shared" si="0"/>
        <v>-0.375</v>
      </c>
      <c r="J12" s="12">
        <f t="shared" si="2"/>
        <v>3.75</v>
      </c>
    </row>
    <row r="13" spans="1:13" hidden="1" x14ac:dyDescent="0.2">
      <c r="A13" s="3" t="str">
        <f t="shared" si="1"/>
        <v>Red</v>
      </c>
      <c r="B13" s="3" t="s">
        <v>13</v>
      </c>
      <c r="C13" s="5">
        <v>12</v>
      </c>
      <c r="D13" s="3">
        <v>75</v>
      </c>
      <c r="E13" s="3">
        <v>-1</v>
      </c>
      <c r="F13" s="3">
        <v>40</v>
      </c>
      <c r="I13" s="12">
        <f t="shared" si="0"/>
        <v>-0.75</v>
      </c>
      <c r="J13" s="12">
        <f t="shared" si="2"/>
        <v>3</v>
      </c>
    </row>
    <row r="14" spans="1:13" hidden="1" x14ac:dyDescent="0.2">
      <c r="A14" s="3" t="str">
        <f t="shared" si="1"/>
        <v>Red</v>
      </c>
      <c r="B14" s="3" t="s">
        <v>14</v>
      </c>
      <c r="C14" s="3">
        <v>13</v>
      </c>
      <c r="D14" s="3">
        <v>70</v>
      </c>
      <c r="E14" s="3">
        <v>-2</v>
      </c>
      <c r="F14" s="3">
        <v>40</v>
      </c>
      <c r="I14" s="12">
        <f t="shared" si="0"/>
        <v>-1.4</v>
      </c>
      <c r="J14" s="12">
        <f t="shared" si="2"/>
        <v>1.6</v>
      </c>
    </row>
    <row r="15" spans="1:13" hidden="1" x14ac:dyDescent="0.2">
      <c r="A15" s="3" t="str">
        <f t="shared" si="1"/>
        <v>Red</v>
      </c>
      <c r="B15" s="3" t="s">
        <v>14</v>
      </c>
      <c r="C15" s="3">
        <v>14</v>
      </c>
      <c r="D15" s="3">
        <v>60</v>
      </c>
      <c r="E15" s="3">
        <v>-1.25</v>
      </c>
      <c r="F15" s="3">
        <v>40</v>
      </c>
      <c r="I15" s="12">
        <f t="shared" si="0"/>
        <v>-0.75</v>
      </c>
      <c r="J15" s="12">
        <f t="shared" si="2"/>
        <v>0.85000000000000009</v>
      </c>
    </row>
    <row r="16" spans="1:13" x14ac:dyDescent="0.2">
      <c r="A16" s="3" t="str">
        <f t="shared" si="1"/>
        <v>Red</v>
      </c>
      <c r="B16" s="3" t="s">
        <v>14</v>
      </c>
      <c r="C16" s="5">
        <v>15</v>
      </c>
      <c r="D16" s="3">
        <v>60</v>
      </c>
      <c r="E16" s="3">
        <v>-1</v>
      </c>
      <c r="F16" s="3">
        <v>40</v>
      </c>
      <c r="G16" s="3" t="s">
        <v>71</v>
      </c>
      <c r="I16" s="12">
        <f t="shared" si="0"/>
        <v>-0.6</v>
      </c>
      <c r="J16" s="12">
        <f t="shared" si="2"/>
        <v>0.25000000000000011</v>
      </c>
      <c r="K16" s="1" t="b">
        <v>1</v>
      </c>
    </row>
    <row r="17" spans="1:13" ht="17" x14ac:dyDescent="0.2">
      <c r="A17" s="3" t="str">
        <f t="shared" si="1"/>
        <v>Red</v>
      </c>
      <c r="B17" s="3" t="s">
        <v>15</v>
      </c>
      <c r="C17" s="3">
        <v>16</v>
      </c>
      <c r="D17" s="3">
        <v>50</v>
      </c>
      <c r="E17" s="3">
        <v>-0.5</v>
      </c>
      <c r="F17" s="3">
        <v>40</v>
      </c>
      <c r="G17" s="11" t="s">
        <v>39</v>
      </c>
      <c r="H17" s="3" t="s">
        <v>90</v>
      </c>
      <c r="I17" s="12">
        <f t="shared" si="0"/>
        <v>-0.25</v>
      </c>
      <c r="J17" s="12">
        <f t="shared" si="2"/>
        <v>0</v>
      </c>
      <c r="K17" s="1" t="b">
        <v>1</v>
      </c>
    </row>
    <row r="18" spans="1:13" hidden="1" x14ac:dyDescent="0.2">
      <c r="A18" s="3" t="str">
        <f t="shared" si="1"/>
        <v>Red</v>
      </c>
      <c r="B18" s="3" t="s">
        <v>15</v>
      </c>
      <c r="C18" s="5">
        <v>17</v>
      </c>
      <c r="D18" s="3">
        <v>200</v>
      </c>
      <c r="E18" s="3">
        <v>-0.5</v>
      </c>
      <c r="F18" s="3">
        <v>55</v>
      </c>
      <c r="I18" s="12">
        <f>E18*D18/100</f>
        <v>-1</v>
      </c>
      <c r="J18" s="12">
        <f t="shared" si="2"/>
        <v>-1</v>
      </c>
    </row>
    <row r="19" spans="1:13" hidden="1" x14ac:dyDescent="0.2">
      <c r="A19" s="3" t="str">
        <f t="shared" si="1"/>
        <v>Red</v>
      </c>
      <c r="B19" s="3" t="s">
        <v>15</v>
      </c>
      <c r="C19" s="3">
        <v>18</v>
      </c>
      <c r="D19" s="3">
        <v>400</v>
      </c>
      <c r="E19" s="3">
        <f>-100*0.241/400</f>
        <v>-6.0249999999999998E-2</v>
      </c>
      <c r="F19" s="3">
        <v>70</v>
      </c>
      <c r="I19" s="12">
        <f t="shared" si="0"/>
        <v>-0.24099999999999999</v>
      </c>
      <c r="J19" s="12">
        <f t="shared" si="2"/>
        <v>-1.2410000000000001</v>
      </c>
    </row>
    <row r="20" spans="1:13" hidden="1" x14ac:dyDescent="0.2">
      <c r="A20" s="3" t="str">
        <f t="shared" si="1"/>
        <v>Red</v>
      </c>
      <c r="B20" s="3" t="s">
        <v>15</v>
      </c>
      <c r="C20" s="3">
        <v>19</v>
      </c>
      <c r="D20" s="3">
        <v>400</v>
      </c>
      <c r="E20" s="3">
        <v>0</v>
      </c>
      <c r="F20" s="3">
        <v>70</v>
      </c>
      <c r="I20" s="12">
        <f t="shared" si="0"/>
        <v>0</v>
      </c>
      <c r="J20" s="12">
        <f t="shared" si="2"/>
        <v>-1.2410000000000001</v>
      </c>
      <c r="M20" s="23"/>
    </row>
    <row r="21" spans="1:13" hidden="1" x14ac:dyDescent="0.2">
      <c r="A21" s="3" t="str">
        <f t="shared" si="1"/>
        <v>Red</v>
      </c>
      <c r="B21" s="3" t="s">
        <v>15</v>
      </c>
      <c r="C21" s="5">
        <v>20</v>
      </c>
      <c r="D21" s="3">
        <v>200</v>
      </c>
      <c r="E21" s="3">
        <v>0</v>
      </c>
      <c r="F21" s="3">
        <v>70</v>
      </c>
      <c r="I21" s="12">
        <f t="shared" si="0"/>
        <v>0</v>
      </c>
      <c r="J21" s="12">
        <f t="shared" si="2"/>
        <v>-1.2410000000000001</v>
      </c>
    </row>
    <row r="22" spans="1:13" ht="17" x14ac:dyDescent="0.2">
      <c r="A22" s="3" t="str">
        <f t="shared" si="1"/>
        <v>Red</v>
      </c>
      <c r="B22" s="3" t="s">
        <v>19</v>
      </c>
      <c r="C22" s="3">
        <v>21</v>
      </c>
      <c r="D22" s="3">
        <v>100</v>
      </c>
      <c r="E22" s="3">
        <v>0</v>
      </c>
      <c r="F22" s="3">
        <v>55</v>
      </c>
      <c r="G22" s="11" t="s">
        <v>61</v>
      </c>
      <c r="H22" s="3" t="s">
        <v>90</v>
      </c>
      <c r="I22" s="12">
        <f t="shared" si="0"/>
        <v>0</v>
      </c>
      <c r="J22" s="12">
        <f t="shared" si="2"/>
        <v>-1.2410000000000001</v>
      </c>
      <c r="K22" s="1" t="b">
        <v>1</v>
      </c>
    </row>
    <row r="23" spans="1:13" hidden="1" x14ac:dyDescent="0.2">
      <c r="A23" s="3" t="str">
        <f t="shared" si="1"/>
        <v>Red</v>
      </c>
      <c r="B23" s="3" t="s">
        <v>19</v>
      </c>
      <c r="C23" s="5">
        <v>22</v>
      </c>
      <c r="D23" s="3">
        <v>100</v>
      </c>
      <c r="E23" s="3">
        <v>0</v>
      </c>
      <c r="F23" s="3">
        <v>55</v>
      </c>
      <c r="I23" s="12">
        <f t="shared" si="0"/>
        <v>0</v>
      </c>
      <c r="J23" s="12">
        <f t="shared" si="2"/>
        <v>-1.2410000000000001</v>
      </c>
    </row>
    <row r="24" spans="1:13" hidden="1" x14ac:dyDescent="0.2">
      <c r="A24" s="3" t="str">
        <f t="shared" si="1"/>
        <v>Red</v>
      </c>
      <c r="B24" s="3" t="s">
        <v>19</v>
      </c>
      <c r="C24" s="3">
        <v>23</v>
      </c>
      <c r="D24" s="3">
        <v>100</v>
      </c>
      <c r="E24" s="3">
        <v>0</v>
      </c>
      <c r="F24" s="3">
        <v>55</v>
      </c>
      <c r="I24" s="12">
        <f t="shared" si="0"/>
        <v>0</v>
      </c>
      <c r="J24" s="12">
        <f t="shared" si="2"/>
        <v>-1.2410000000000001</v>
      </c>
    </row>
    <row r="25" spans="1:13" hidden="1" x14ac:dyDescent="0.2">
      <c r="A25" s="3" t="str">
        <f t="shared" si="1"/>
        <v>Red</v>
      </c>
      <c r="B25" s="3" t="s">
        <v>20</v>
      </c>
      <c r="C25" s="3">
        <v>24</v>
      </c>
      <c r="D25" s="3">
        <v>50</v>
      </c>
      <c r="E25" s="3">
        <v>0</v>
      </c>
      <c r="F25" s="3">
        <v>70</v>
      </c>
      <c r="G25" s="3" t="s">
        <v>34</v>
      </c>
      <c r="I25" s="12">
        <f t="shared" si="0"/>
        <v>0</v>
      </c>
      <c r="J25" s="12">
        <f t="shared" si="2"/>
        <v>-1.2410000000000001</v>
      </c>
    </row>
    <row r="26" spans="1:13" ht="17" x14ac:dyDescent="0.2">
      <c r="A26" s="3" t="str">
        <f t="shared" si="1"/>
        <v>Red</v>
      </c>
      <c r="B26" s="3" t="s">
        <v>20</v>
      </c>
      <c r="C26" s="5">
        <v>25</v>
      </c>
      <c r="D26" s="3">
        <v>50</v>
      </c>
      <c r="E26" s="3">
        <v>0</v>
      </c>
      <c r="F26" s="3">
        <v>70</v>
      </c>
      <c r="G26" s="11" t="s">
        <v>72</v>
      </c>
      <c r="H26" s="3" t="s">
        <v>90</v>
      </c>
      <c r="I26" s="12">
        <f t="shared" si="0"/>
        <v>0</v>
      </c>
      <c r="J26" s="12">
        <f t="shared" si="2"/>
        <v>-1.2410000000000001</v>
      </c>
      <c r="K26" s="1" t="b">
        <v>1</v>
      </c>
    </row>
    <row r="27" spans="1:13" hidden="1" x14ac:dyDescent="0.2">
      <c r="A27" s="3" t="str">
        <f t="shared" si="1"/>
        <v>Red</v>
      </c>
      <c r="B27" s="3" t="s">
        <v>20</v>
      </c>
      <c r="C27" s="3">
        <v>26</v>
      </c>
      <c r="D27" s="3">
        <v>50</v>
      </c>
      <c r="E27" s="3">
        <v>0</v>
      </c>
      <c r="F27" s="3">
        <v>70</v>
      </c>
      <c r="G27" s="3" t="s">
        <v>34</v>
      </c>
      <c r="I27" s="12">
        <f t="shared" si="0"/>
        <v>0</v>
      </c>
      <c r="J27" s="12">
        <f t="shared" si="2"/>
        <v>-1.2410000000000001</v>
      </c>
    </row>
    <row r="28" spans="1:13" ht="17" x14ac:dyDescent="0.2">
      <c r="A28" s="3" t="str">
        <f t="shared" si="1"/>
        <v>Red</v>
      </c>
      <c r="B28" s="3" t="s">
        <v>20</v>
      </c>
      <c r="C28" s="5">
        <v>27</v>
      </c>
      <c r="D28" s="3">
        <v>50</v>
      </c>
      <c r="E28" s="3">
        <v>0</v>
      </c>
      <c r="F28" s="3">
        <v>70</v>
      </c>
      <c r="G28" s="11" t="s">
        <v>73</v>
      </c>
      <c r="I28" s="12">
        <f t="shared" si="0"/>
        <v>0</v>
      </c>
      <c r="J28" s="12">
        <f t="shared" si="2"/>
        <v>-1.2410000000000001</v>
      </c>
      <c r="K28" s="1" t="b">
        <v>1</v>
      </c>
    </row>
    <row r="29" spans="1:13" hidden="1" x14ac:dyDescent="0.2">
      <c r="A29" s="3" t="str">
        <f t="shared" si="1"/>
        <v>Red</v>
      </c>
      <c r="B29" s="3" t="s">
        <v>20</v>
      </c>
      <c r="C29" s="3">
        <v>28</v>
      </c>
      <c r="D29" s="3">
        <v>50</v>
      </c>
      <c r="E29" s="3">
        <v>0</v>
      </c>
      <c r="F29" s="3">
        <v>70</v>
      </c>
      <c r="G29" s="3" t="s">
        <v>34</v>
      </c>
      <c r="I29" s="12">
        <f t="shared" si="0"/>
        <v>0</v>
      </c>
      <c r="J29" s="12">
        <f t="shared" si="2"/>
        <v>-1.2410000000000001</v>
      </c>
    </row>
    <row r="30" spans="1:13" hidden="1" x14ac:dyDescent="0.2">
      <c r="A30" s="3" t="str">
        <f t="shared" si="1"/>
        <v>Red</v>
      </c>
      <c r="B30" s="3" t="s">
        <v>20</v>
      </c>
      <c r="C30" s="3">
        <v>29</v>
      </c>
      <c r="D30" s="3">
        <v>60</v>
      </c>
      <c r="E30" s="3">
        <v>0</v>
      </c>
      <c r="F30" s="3">
        <v>70</v>
      </c>
      <c r="G30" s="3" t="s">
        <v>34</v>
      </c>
      <c r="I30" s="12">
        <f t="shared" si="0"/>
        <v>0</v>
      </c>
      <c r="J30" s="12">
        <f t="shared" si="2"/>
        <v>-1.2410000000000001</v>
      </c>
    </row>
    <row r="31" spans="1:13" hidden="1" x14ac:dyDescent="0.2">
      <c r="A31" s="3" t="str">
        <f t="shared" si="1"/>
        <v>Red</v>
      </c>
      <c r="B31" s="3" t="s">
        <v>20</v>
      </c>
      <c r="C31" s="5">
        <v>30</v>
      </c>
      <c r="D31" s="3">
        <v>60</v>
      </c>
      <c r="E31" s="3">
        <v>0</v>
      </c>
      <c r="F31" s="3">
        <v>70</v>
      </c>
      <c r="G31" s="3" t="s">
        <v>34</v>
      </c>
      <c r="I31" s="12">
        <f t="shared" si="0"/>
        <v>0</v>
      </c>
      <c r="J31" s="12">
        <f t="shared" si="2"/>
        <v>-1.2410000000000001</v>
      </c>
    </row>
    <row r="32" spans="1:13" hidden="1" x14ac:dyDescent="0.2">
      <c r="A32" s="3" t="str">
        <f t="shared" si="1"/>
        <v>Red</v>
      </c>
      <c r="B32" s="3" t="s">
        <v>20</v>
      </c>
      <c r="C32" s="3">
        <v>31</v>
      </c>
      <c r="D32" s="3">
        <v>50</v>
      </c>
      <c r="E32" s="3">
        <v>0</v>
      </c>
      <c r="F32" s="3">
        <v>70</v>
      </c>
      <c r="G32" s="3" t="s">
        <v>34</v>
      </c>
      <c r="I32" s="12">
        <f t="shared" si="0"/>
        <v>0</v>
      </c>
      <c r="J32" s="12">
        <f t="shared" si="2"/>
        <v>-1.2410000000000001</v>
      </c>
    </row>
    <row r="33" spans="1:13" ht="17" x14ac:dyDescent="0.2">
      <c r="A33" s="3" t="str">
        <f t="shared" si="1"/>
        <v>Red</v>
      </c>
      <c r="B33" s="3" t="s">
        <v>20</v>
      </c>
      <c r="C33" s="5">
        <v>32</v>
      </c>
      <c r="D33" s="3">
        <v>50</v>
      </c>
      <c r="E33" s="3">
        <v>0</v>
      </c>
      <c r="F33" s="3">
        <v>70</v>
      </c>
      <c r="G33" s="11" t="s">
        <v>77</v>
      </c>
      <c r="I33" s="12">
        <f t="shared" si="0"/>
        <v>0</v>
      </c>
      <c r="J33" s="12">
        <f t="shared" si="2"/>
        <v>-1.2410000000000001</v>
      </c>
      <c r="K33" s="1" t="b">
        <v>1</v>
      </c>
    </row>
    <row r="34" spans="1:13" hidden="1" x14ac:dyDescent="0.2">
      <c r="A34" s="3" t="str">
        <f t="shared" si="1"/>
        <v>Red</v>
      </c>
      <c r="B34" s="3" t="s">
        <v>20</v>
      </c>
      <c r="C34" s="3">
        <v>33</v>
      </c>
      <c r="D34" s="3">
        <v>50</v>
      </c>
      <c r="E34" s="3">
        <v>0</v>
      </c>
      <c r="F34" s="3">
        <v>70</v>
      </c>
      <c r="G34" s="3" t="s">
        <v>34</v>
      </c>
      <c r="I34" s="12">
        <f t="shared" si="0"/>
        <v>0</v>
      </c>
      <c r="J34" s="12">
        <f t="shared" si="2"/>
        <v>-1.2410000000000001</v>
      </c>
    </row>
    <row r="35" spans="1:13" hidden="1" x14ac:dyDescent="0.2">
      <c r="A35" s="3" t="str">
        <f t="shared" si="1"/>
        <v>Red</v>
      </c>
      <c r="B35" s="3" t="s">
        <v>20</v>
      </c>
      <c r="C35" s="3">
        <v>34</v>
      </c>
      <c r="D35" s="3">
        <v>50</v>
      </c>
      <c r="E35" s="3">
        <v>0</v>
      </c>
      <c r="F35" s="3">
        <v>70</v>
      </c>
      <c r="G35" s="3" t="s">
        <v>34</v>
      </c>
      <c r="I35" s="12">
        <f t="shared" si="0"/>
        <v>0</v>
      </c>
      <c r="J35" s="12">
        <f t="shared" si="2"/>
        <v>-1.2410000000000001</v>
      </c>
    </row>
    <row r="36" spans="1:13" ht="17" x14ac:dyDescent="0.2">
      <c r="A36" s="3" t="str">
        <f t="shared" si="1"/>
        <v>Red</v>
      </c>
      <c r="B36" s="3" t="s">
        <v>20</v>
      </c>
      <c r="C36" s="5">
        <v>35</v>
      </c>
      <c r="D36" s="3">
        <v>50</v>
      </c>
      <c r="E36" s="3">
        <v>0</v>
      </c>
      <c r="F36" s="3">
        <v>70</v>
      </c>
      <c r="G36" s="11" t="s">
        <v>40</v>
      </c>
      <c r="H36" s="3" t="s">
        <v>90</v>
      </c>
      <c r="I36" s="12">
        <f t="shared" si="0"/>
        <v>0</v>
      </c>
      <c r="J36" s="12">
        <f t="shared" si="2"/>
        <v>-1.2410000000000001</v>
      </c>
      <c r="K36" s="1" t="b">
        <v>1</v>
      </c>
    </row>
    <row r="37" spans="1:13" hidden="1" x14ac:dyDescent="0.2">
      <c r="A37" s="3" t="str">
        <f t="shared" si="1"/>
        <v>Red</v>
      </c>
      <c r="B37" s="3" t="s">
        <v>20</v>
      </c>
      <c r="C37" s="3">
        <v>36</v>
      </c>
      <c r="D37" s="3">
        <v>50</v>
      </c>
      <c r="E37" s="3">
        <v>0</v>
      </c>
      <c r="F37" s="3">
        <v>70</v>
      </c>
      <c r="G37" s="3" t="s">
        <v>34</v>
      </c>
      <c r="I37" s="12">
        <f t="shared" si="0"/>
        <v>0</v>
      </c>
      <c r="J37" s="12">
        <f t="shared" si="2"/>
        <v>-1.2410000000000001</v>
      </c>
    </row>
    <row r="38" spans="1:13" hidden="1" x14ac:dyDescent="0.2">
      <c r="A38" s="3" t="str">
        <f>A34</f>
        <v>Red</v>
      </c>
      <c r="B38" s="3" t="s">
        <v>20</v>
      </c>
      <c r="C38" s="3">
        <v>37</v>
      </c>
      <c r="D38" s="3">
        <v>50</v>
      </c>
      <c r="E38" s="3">
        <v>0</v>
      </c>
      <c r="F38" s="3">
        <v>70</v>
      </c>
      <c r="G38" s="3" t="s">
        <v>34</v>
      </c>
      <c r="I38" s="12">
        <f t="shared" si="0"/>
        <v>0</v>
      </c>
      <c r="J38" s="12">
        <f t="shared" si="2"/>
        <v>-1.2410000000000001</v>
      </c>
      <c r="L38" s="23"/>
    </row>
    <row r="39" spans="1:13" ht="17" x14ac:dyDescent="0.2">
      <c r="A39" s="3" t="str">
        <f t="shared" si="1"/>
        <v>Red</v>
      </c>
      <c r="B39" s="3" t="s">
        <v>20</v>
      </c>
      <c r="C39" s="5">
        <v>38</v>
      </c>
      <c r="D39" s="3">
        <v>50</v>
      </c>
      <c r="E39" s="3">
        <v>0</v>
      </c>
      <c r="F39" s="3">
        <v>70</v>
      </c>
      <c r="G39" s="11" t="s">
        <v>74</v>
      </c>
      <c r="I39" s="12">
        <f t="shared" si="0"/>
        <v>0</v>
      </c>
      <c r="J39" s="12">
        <f t="shared" si="2"/>
        <v>-1.2410000000000001</v>
      </c>
      <c r="K39" s="1" t="b">
        <v>1</v>
      </c>
      <c r="M39" s="23"/>
    </row>
    <row r="40" spans="1:13" hidden="1" x14ac:dyDescent="0.2">
      <c r="A40" s="3" t="str">
        <f t="shared" si="1"/>
        <v>Red</v>
      </c>
      <c r="B40" s="3" t="s">
        <v>20</v>
      </c>
      <c r="C40" s="3">
        <v>39</v>
      </c>
      <c r="D40" s="3">
        <v>50</v>
      </c>
      <c r="E40" s="3">
        <v>0</v>
      </c>
      <c r="F40" s="3">
        <v>70</v>
      </c>
      <c r="G40" s="3" t="s">
        <v>34</v>
      </c>
      <c r="I40" s="12">
        <f t="shared" si="0"/>
        <v>0</v>
      </c>
      <c r="J40" s="12">
        <f t="shared" si="2"/>
        <v>-1.2410000000000001</v>
      </c>
    </row>
    <row r="41" spans="1:13" hidden="1" x14ac:dyDescent="0.2">
      <c r="A41" s="3" t="str">
        <f t="shared" si="1"/>
        <v>Red</v>
      </c>
      <c r="B41" s="3" t="s">
        <v>20</v>
      </c>
      <c r="C41" s="3">
        <v>40</v>
      </c>
      <c r="D41" s="3">
        <v>60</v>
      </c>
      <c r="E41" s="3">
        <v>0</v>
      </c>
      <c r="F41" s="3">
        <v>70</v>
      </c>
      <c r="G41" s="3" t="s">
        <v>34</v>
      </c>
      <c r="I41" s="12">
        <f t="shared" si="0"/>
        <v>0</v>
      </c>
      <c r="J41" s="12">
        <f t="shared" si="2"/>
        <v>-1.2410000000000001</v>
      </c>
    </row>
    <row r="42" spans="1:13" hidden="1" x14ac:dyDescent="0.2">
      <c r="A42" s="3" t="str">
        <f t="shared" si="1"/>
        <v>Red</v>
      </c>
      <c r="B42" s="3" t="s">
        <v>20</v>
      </c>
      <c r="C42" s="5">
        <v>41</v>
      </c>
      <c r="D42" s="3">
        <v>60</v>
      </c>
      <c r="E42" s="3">
        <v>0</v>
      </c>
      <c r="F42" s="3">
        <v>70</v>
      </c>
      <c r="G42" s="3" t="s">
        <v>34</v>
      </c>
      <c r="I42" s="12">
        <f t="shared" si="0"/>
        <v>0</v>
      </c>
      <c r="J42" s="12">
        <f t="shared" si="2"/>
        <v>-1.2410000000000001</v>
      </c>
    </row>
    <row r="43" spans="1:13" hidden="1" x14ac:dyDescent="0.2">
      <c r="A43" s="3" t="str">
        <f t="shared" si="1"/>
        <v>Red</v>
      </c>
      <c r="B43" s="3" t="s">
        <v>20</v>
      </c>
      <c r="C43" s="3">
        <v>42</v>
      </c>
      <c r="D43" s="3">
        <v>50</v>
      </c>
      <c r="E43" s="3">
        <v>0</v>
      </c>
      <c r="F43" s="3">
        <v>70</v>
      </c>
      <c r="G43" s="3" t="s">
        <v>34</v>
      </c>
      <c r="I43" s="12">
        <f t="shared" si="0"/>
        <v>0</v>
      </c>
      <c r="J43" s="12">
        <f t="shared" si="2"/>
        <v>-1.2410000000000001</v>
      </c>
    </row>
    <row r="44" spans="1:13" ht="17" x14ac:dyDescent="0.2">
      <c r="A44" s="3" t="str">
        <f t="shared" si="1"/>
        <v>Red</v>
      </c>
      <c r="B44" s="3" t="s">
        <v>20</v>
      </c>
      <c r="C44" s="3">
        <v>43</v>
      </c>
      <c r="D44" s="3">
        <v>50</v>
      </c>
      <c r="E44" s="3">
        <v>0</v>
      </c>
      <c r="F44" s="3">
        <v>70</v>
      </c>
      <c r="G44" s="11" t="s">
        <v>78</v>
      </c>
      <c r="I44" s="12">
        <f t="shared" si="0"/>
        <v>0</v>
      </c>
      <c r="J44" s="12">
        <f t="shared" si="2"/>
        <v>-1.2410000000000001</v>
      </c>
      <c r="K44" s="1" t="b">
        <v>1</v>
      </c>
    </row>
    <row r="45" spans="1:13" hidden="1" x14ac:dyDescent="0.2">
      <c r="A45" s="3" t="str">
        <f t="shared" si="1"/>
        <v>Red</v>
      </c>
      <c r="B45" s="3" t="s">
        <v>20</v>
      </c>
      <c r="C45" s="5">
        <v>44</v>
      </c>
      <c r="D45" s="3">
        <v>50</v>
      </c>
      <c r="E45" s="3">
        <v>0</v>
      </c>
      <c r="F45" s="3">
        <v>70</v>
      </c>
      <c r="G45" s="3" t="s">
        <v>34</v>
      </c>
      <c r="I45" s="12">
        <f t="shared" si="0"/>
        <v>0</v>
      </c>
      <c r="J45" s="12">
        <f t="shared" si="2"/>
        <v>-1.2410000000000001</v>
      </c>
    </row>
    <row r="46" spans="1:13" ht="17" x14ac:dyDescent="0.2">
      <c r="A46" s="3" t="str">
        <f t="shared" si="1"/>
        <v>Red</v>
      </c>
      <c r="B46" s="3" t="s">
        <v>20</v>
      </c>
      <c r="C46" s="3">
        <v>45</v>
      </c>
      <c r="D46" s="3">
        <v>50</v>
      </c>
      <c r="E46" s="3">
        <v>0</v>
      </c>
      <c r="F46" s="3">
        <v>70</v>
      </c>
      <c r="G46" s="11" t="s">
        <v>75</v>
      </c>
      <c r="H46" s="3" t="s">
        <v>90</v>
      </c>
      <c r="I46" s="12">
        <f t="shared" si="0"/>
        <v>0</v>
      </c>
      <c r="J46" s="12">
        <f t="shared" si="2"/>
        <v>-1.2410000000000001</v>
      </c>
      <c r="K46" s="1" t="b">
        <v>1</v>
      </c>
    </row>
    <row r="47" spans="1:13" hidden="1" x14ac:dyDescent="0.2">
      <c r="A47" s="3" t="str">
        <f t="shared" si="1"/>
        <v>Red</v>
      </c>
      <c r="B47" s="18" t="s">
        <v>21</v>
      </c>
      <c r="C47" s="18">
        <v>46</v>
      </c>
      <c r="D47" s="18">
        <v>75</v>
      </c>
      <c r="E47" s="18">
        <v>0</v>
      </c>
      <c r="F47" s="18">
        <v>70</v>
      </c>
      <c r="G47" s="18" t="s">
        <v>34</v>
      </c>
      <c r="H47" s="18"/>
      <c r="I47" s="19">
        <f t="shared" si="0"/>
        <v>0</v>
      </c>
      <c r="J47" s="19">
        <f t="shared" si="2"/>
        <v>-1.2410000000000001</v>
      </c>
    </row>
    <row r="48" spans="1:13" ht="17" hidden="1" x14ac:dyDescent="0.2">
      <c r="A48" s="3" t="str">
        <f t="shared" si="1"/>
        <v>Red</v>
      </c>
      <c r="B48" s="18" t="s">
        <v>21</v>
      </c>
      <c r="C48" s="20">
        <v>47</v>
      </c>
      <c r="D48" s="18">
        <v>75</v>
      </c>
      <c r="E48" s="18">
        <v>0</v>
      </c>
      <c r="F48" s="18">
        <v>70</v>
      </c>
      <c r="G48" s="21" t="s">
        <v>62</v>
      </c>
      <c r="H48" s="18"/>
      <c r="I48" s="19">
        <f t="shared" si="0"/>
        <v>0</v>
      </c>
      <c r="J48" s="19">
        <f t="shared" si="2"/>
        <v>-1.2410000000000001</v>
      </c>
    </row>
    <row r="49" spans="1:13" ht="17" x14ac:dyDescent="0.2">
      <c r="A49" s="3" t="str">
        <f t="shared" si="1"/>
        <v>Red</v>
      </c>
      <c r="B49" s="18" t="s">
        <v>21</v>
      </c>
      <c r="C49" s="18">
        <v>48</v>
      </c>
      <c r="D49" s="18">
        <v>75</v>
      </c>
      <c r="E49" s="18">
        <v>0</v>
      </c>
      <c r="F49" s="18">
        <v>70</v>
      </c>
      <c r="G49" s="21" t="s">
        <v>41</v>
      </c>
      <c r="H49" s="18" t="s">
        <v>90</v>
      </c>
      <c r="I49" s="19">
        <f t="shared" si="0"/>
        <v>0</v>
      </c>
      <c r="J49" s="19">
        <f t="shared" si="2"/>
        <v>-1.2410000000000001</v>
      </c>
      <c r="K49" s="1" t="b">
        <v>1</v>
      </c>
    </row>
    <row r="50" spans="1:13" hidden="1" x14ac:dyDescent="0.2">
      <c r="A50" s="3" t="str">
        <f t="shared" si="1"/>
        <v>Red</v>
      </c>
      <c r="B50" s="3" t="s">
        <v>23</v>
      </c>
      <c r="C50" s="3">
        <v>49</v>
      </c>
      <c r="D50" s="3">
        <v>50</v>
      </c>
      <c r="E50" s="3">
        <v>0</v>
      </c>
      <c r="F50" s="3">
        <v>60</v>
      </c>
      <c r="I50" s="12">
        <f t="shared" si="0"/>
        <v>0</v>
      </c>
      <c r="J50" s="12">
        <f t="shared" si="2"/>
        <v>-1.2410000000000001</v>
      </c>
    </row>
    <row r="51" spans="1:13" hidden="1" x14ac:dyDescent="0.2">
      <c r="A51" s="3" t="str">
        <f t="shared" si="1"/>
        <v>Red</v>
      </c>
      <c r="B51" s="3" t="s">
        <v>23</v>
      </c>
      <c r="C51" s="5">
        <v>50</v>
      </c>
      <c r="D51" s="3">
        <v>50</v>
      </c>
      <c r="E51" s="3">
        <v>0</v>
      </c>
      <c r="F51" s="3">
        <v>60</v>
      </c>
      <c r="I51" s="12">
        <f t="shared" si="0"/>
        <v>0</v>
      </c>
      <c r="J51" s="12">
        <f t="shared" si="2"/>
        <v>-1.2410000000000001</v>
      </c>
    </row>
    <row r="52" spans="1:13" hidden="1" x14ac:dyDescent="0.2">
      <c r="A52" s="3" t="str">
        <f t="shared" si="1"/>
        <v>Red</v>
      </c>
      <c r="B52" s="3" t="s">
        <v>23</v>
      </c>
      <c r="C52" s="3">
        <v>51</v>
      </c>
      <c r="D52" s="3">
        <v>50</v>
      </c>
      <c r="E52" s="3">
        <v>0</v>
      </c>
      <c r="F52" s="3">
        <v>55</v>
      </c>
      <c r="I52" s="12">
        <f t="shared" si="0"/>
        <v>0</v>
      </c>
      <c r="J52" s="12">
        <f t="shared" si="2"/>
        <v>-1.2410000000000001</v>
      </c>
    </row>
    <row r="53" spans="1:13" x14ac:dyDescent="0.2">
      <c r="A53" s="3" t="str">
        <f t="shared" si="1"/>
        <v>Red</v>
      </c>
      <c r="B53" s="3" t="s">
        <v>23</v>
      </c>
      <c r="C53" s="3">
        <v>52</v>
      </c>
      <c r="D53" s="3">
        <v>43.2</v>
      </c>
      <c r="E53" s="3">
        <v>0</v>
      </c>
      <c r="F53" s="3">
        <v>55</v>
      </c>
      <c r="G53" s="3" t="s">
        <v>76</v>
      </c>
      <c r="I53" s="12">
        <f t="shared" si="0"/>
        <v>0</v>
      </c>
      <c r="J53" s="12">
        <f t="shared" si="2"/>
        <v>-1.2410000000000001</v>
      </c>
      <c r="K53" s="1" t="b">
        <v>1</v>
      </c>
    </row>
    <row r="54" spans="1:13" hidden="1" x14ac:dyDescent="0.2">
      <c r="A54" s="3" t="str">
        <f t="shared" si="1"/>
        <v>Red</v>
      </c>
      <c r="B54" s="3" t="s">
        <v>23</v>
      </c>
      <c r="C54" s="5">
        <v>53</v>
      </c>
      <c r="D54" s="3">
        <v>50</v>
      </c>
      <c r="E54" s="3">
        <v>0</v>
      </c>
      <c r="F54" s="3">
        <v>55</v>
      </c>
      <c r="I54" s="12">
        <f t="shared" si="0"/>
        <v>0</v>
      </c>
      <c r="J54" s="12">
        <f t="shared" si="2"/>
        <v>-1.2410000000000001</v>
      </c>
    </row>
    <row r="55" spans="1:13" hidden="1" x14ac:dyDescent="0.2">
      <c r="A55" s="3" t="str">
        <f t="shared" si="1"/>
        <v>Red</v>
      </c>
      <c r="B55" s="3" t="s">
        <v>23</v>
      </c>
      <c r="C55" s="3">
        <v>54</v>
      </c>
      <c r="D55" s="3">
        <v>50</v>
      </c>
      <c r="E55" s="3">
        <v>0</v>
      </c>
      <c r="F55" s="3">
        <v>55</v>
      </c>
      <c r="I55" s="12">
        <f t="shared" si="0"/>
        <v>0</v>
      </c>
      <c r="J55" s="12">
        <f t="shared" si="2"/>
        <v>-1.2410000000000001</v>
      </c>
    </row>
    <row r="56" spans="1:13" hidden="1" x14ac:dyDescent="0.2">
      <c r="A56" s="3" t="str">
        <f t="shared" si="1"/>
        <v>Red</v>
      </c>
      <c r="B56" s="3" t="s">
        <v>24</v>
      </c>
      <c r="C56" s="3">
        <v>55</v>
      </c>
      <c r="D56" s="3">
        <v>75</v>
      </c>
      <c r="E56" s="3">
        <v>0.5</v>
      </c>
      <c r="F56" s="3">
        <v>55</v>
      </c>
      <c r="I56" s="12">
        <f t="shared" si="0"/>
        <v>0.375</v>
      </c>
      <c r="J56" s="12">
        <f t="shared" si="2"/>
        <v>-0.8660000000000001</v>
      </c>
    </row>
    <row r="57" spans="1:13" hidden="1" x14ac:dyDescent="0.2">
      <c r="A57" s="3" t="str">
        <f t="shared" si="1"/>
        <v>Red</v>
      </c>
      <c r="B57" s="3" t="s">
        <v>24</v>
      </c>
      <c r="C57" s="5">
        <v>56</v>
      </c>
      <c r="D57" s="3">
        <v>75</v>
      </c>
      <c r="E57" s="3">
        <v>0.5</v>
      </c>
      <c r="F57" s="3">
        <v>55</v>
      </c>
      <c r="I57" s="12">
        <f t="shared" si="0"/>
        <v>0.375</v>
      </c>
      <c r="J57" s="12">
        <f t="shared" si="2"/>
        <v>-0.4910000000000001</v>
      </c>
    </row>
    <row r="58" spans="1:13" hidden="1" x14ac:dyDescent="0.2">
      <c r="A58" s="3" t="str">
        <f t="shared" si="1"/>
        <v>Red</v>
      </c>
      <c r="B58" s="3" t="s">
        <v>24</v>
      </c>
      <c r="C58" s="3">
        <v>57</v>
      </c>
      <c r="D58" s="3">
        <v>75</v>
      </c>
      <c r="E58" s="3">
        <v>0.5</v>
      </c>
      <c r="F58" s="3">
        <v>55</v>
      </c>
      <c r="I58" s="12">
        <f t="shared" si="0"/>
        <v>0.375</v>
      </c>
      <c r="J58" s="12">
        <f t="shared" si="2"/>
        <v>-0.1160000000000001</v>
      </c>
      <c r="M58" s="23"/>
    </row>
    <row r="59" spans="1:13" hidden="1" x14ac:dyDescent="0.2">
      <c r="A59" s="3" t="str">
        <f t="shared" si="1"/>
        <v>Red</v>
      </c>
      <c r="B59" s="3" t="s">
        <v>25</v>
      </c>
      <c r="C59" s="3">
        <v>58</v>
      </c>
      <c r="D59" s="3">
        <v>75</v>
      </c>
      <c r="E59" s="3">
        <v>1</v>
      </c>
      <c r="F59" s="3">
        <v>55</v>
      </c>
      <c r="I59" s="12">
        <f t="shared" si="0"/>
        <v>0.75</v>
      </c>
      <c r="J59" s="12">
        <f t="shared" si="2"/>
        <v>0.6339999999999999</v>
      </c>
    </row>
    <row r="60" spans="1:13" hidden="1" x14ac:dyDescent="0.2">
      <c r="A60" s="3" t="str">
        <f t="shared" si="1"/>
        <v>Red</v>
      </c>
      <c r="B60" s="3" t="s">
        <v>25</v>
      </c>
      <c r="C60" s="5">
        <v>59</v>
      </c>
      <c r="D60" s="3">
        <v>75</v>
      </c>
      <c r="E60" s="3">
        <v>0.5</v>
      </c>
      <c r="F60" s="3">
        <v>55</v>
      </c>
      <c r="I60" s="12">
        <f t="shared" si="0"/>
        <v>0.375</v>
      </c>
      <c r="J60" s="12">
        <f t="shared" si="2"/>
        <v>1.0089999999999999</v>
      </c>
    </row>
    <row r="61" spans="1:13" ht="17" x14ac:dyDescent="0.2">
      <c r="A61" s="3" t="str">
        <f t="shared" si="1"/>
        <v>Red</v>
      </c>
      <c r="B61" s="3" t="s">
        <v>25</v>
      </c>
      <c r="C61" s="3">
        <v>60</v>
      </c>
      <c r="D61" s="3">
        <v>75</v>
      </c>
      <c r="E61" s="3">
        <v>0</v>
      </c>
      <c r="F61" s="3">
        <v>55</v>
      </c>
      <c r="G61" s="11" t="s">
        <v>42</v>
      </c>
      <c r="H61" s="3" t="s">
        <v>90</v>
      </c>
      <c r="I61" s="12">
        <f t="shared" si="0"/>
        <v>0</v>
      </c>
      <c r="J61" s="12">
        <f t="shared" si="2"/>
        <v>1.0089999999999999</v>
      </c>
      <c r="K61" s="1" t="b">
        <v>1</v>
      </c>
    </row>
    <row r="62" spans="1:13" hidden="1" x14ac:dyDescent="0.2">
      <c r="A62" s="3" t="str">
        <f t="shared" si="1"/>
        <v>Red</v>
      </c>
      <c r="B62" s="3" t="s">
        <v>26</v>
      </c>
      <c r="C62" s="3">
        <v>61</v>
      </c>
      <c r="D62" s="3">
        <v>75</v>
      </c>
      <c r="E62" s="3">
        <v>-0.5</v>
      </c>
      <c r="F62" s="3">
        <v>55</v>
      </c>
      <c r="I62" s="12">
        <f t="shared" si="0"/>
        <v>-0.375</v>
      </c>
      <c r="J62" s="12">
        <f t="shared" si="2"/>
        <v>0.6339999999999999</v>
      </c>
    </row>
    <row r="63" spans="1:13" hidden="1" x14ac:dyDescent="0.2">
      <c r="A63" s="3" t="str">
        <f t="shared" si="1"/>
        <v>Red</v>
      </c>
      <c r="B63" s="3" t="s">
        <v>26</v>
      </c>
      <c r="C63" s="5">
        <v>62</v>
      </c>
      <c r="D63" s="3">
        <v>75</v>
      </c>
      <c r="E63" s="3">
        <v>-1</v>
      </c>
      <c r="F63" s="3">
        <v>55</v>
      </c>
      <c r="I63" s="12">
        <f t="shared" si="0"/>
        <v>-0.75</v>
      </c>
      <c r="J63" s="12">
        <f t="shared" si="2"/>
        <v>-0.1160000000000001</v>
      </c>
    </row>
    <row r="64" spans="1:13" hidden="1" x14ac:dyDescent="0.2">
      <c r="A64" s="3" t="str">
        <f t="shared" si="1"/>
        <v>Red</v>
      </c>
      <c r="B64" s="3" t="s">
        <v>26</v>
      </c>
      <c r="C64" s="3">
        <v>63</v>
      </c>
      <c r="D64" s="3">
        <v>75</v>
      </c>
      <c r="E64" s="3">
        <v>-1</v>
      </c>
      <c r="F64" s="3">
        <v>55</v>
      </c>
      <c r="I64" s="12">
        <f t="shared" si="0"/>
        <v>-0.75</v>
      </c>
      <c r="J64" s="12">
        <f t="shared" si="2"/>
        <v>-0.8660000000000001</v>
      </c>
    </row>
    <row r="65" spans="1:10" hidden="1" x14ac:dyDescent="0.2">
      <c r="A65" s="3" t="str">
        <f t="shared" si="1"/>
        <v>Red</v>
      </c>
      <c r="B65" s="3" t="s">
        <v>27</v>
      </c>
      <c r="C65" s="3">
        <v>64</v>
      </c>
      <c r="D65" s="3">
        <v>75</v>
      </c>
      <c r="E65" s="3">
        <v>-0.5</v>
      </c>
      <c r="F65" s="3">
        <v>55</v>
      </c>
      <c r="I65" s="12">
        <f t="shared" si="0"/>
        <v>-0.375</v>
      </c>
      <c r="J65" s="12">
        <f t="shared" si="2"/>
        <v>-1.2410000000000001</v>
      </c>
    </row>
    <row r="66" spans="1:10" hidden="1" x14ac:dyDescent="0.2">
      <c r="A66" s="3" t="str">
        <f t="shared" si="1"/>
        <v>Red</v>
      </c>
      <c r="B66" s="3" t="s">
        <v>27</v>
      </c>
      <c r="C66" s="5">
        <v>65</v>
      </c>
      <c r="D66" s="3">
        <v>75</v>
      </c>
      <c r="E66" s="3">
        <v>0</v>
      </c>
      <c r="F66" s="3">
        <v>55</v>
      </c>
      <c r="I66" s="12">
        <f t="shared" si="0"/>
        <v>0</v>
      </c>
      <c r="J66" s="12">
        <f t="shared" si="2"/>
        <v>-1.2410000000000001</v>
      </c>
    </row>
    <row r="67" spans="1:10" hidden="1" x14ac:dyDescent="0.2">
      <c r="A67" s="3" t="str">
        <f t="shared" si="1"/>
        <v>Red</v>
      </c>
      <c r="B67" s="3" t="s">
        <v>27</v>
      </c>
      <c r="C67" s="3">
        <v>66</v>
      </c>
      <c r="D67" s="3">
        <v>75</v>
      </c>
      <c r="E67" s="3">
        <v>0</v>
      </c>
      <c r="F67" s="3">
        <v>55</v>
      </c>
      <c r="I67" s="12">
        <f t="shared" ref="I67:I77" si="3">E67*D67/100</f>
        <v>0</v>
      </c>
      <c r="J67" s="12">
        <f t="shared" si="2"/>
        <v>-1.2410000000000001</v>
      </c>
    </row>
    <row r="68" spans="1:10" hidden="1" x14ac:dyDescent="0.2">
      <c r="A68" s="3" t="str">
        <f t="shared" si="1"/>
        <v>Red</v>
      </c>
      <c r="B68" s="3" t="s">
        <v>28</v>
      </c>
      <c r="C68" s="3">
        <v>67</v>
      </c>
      <c r="D68" s="3">
        <v>50</v>
      </c>
      <c r="E68" s="3">
        <v>0</v>
      </c>
      <c r="F68" s="3">
        <v>55</v>
      </c>
      <c r="G68" s="3" t="s">
        <v>34</v>
      </c>
      <c r="I68" s="12">
        <f t="shared" si="3"/>
        <v>0</v>
      </c>
      <c r="J68" s="12">
        <f t="shared" ref="J68:J77" si="4">I68+J67</f>
        <v>-1.2410000000000001</v>
      </c>
    </row>
    <row r="69" spans="1:10" hidden="1" x14ac:dyDescent="0.2">
      <c r="A69" s="3" t="str">
        <f t="shared" si="1"/>
        <v>Red</v>
      </c>
      <c r="B69" s="3" t="s">
        <v>29</v>
      </c>
      <c r="C69" s="5">
        <v>68</v>
      </c>
      <c r="D69" s="3">
        <v>50</v>
      </c>
      <c r="E69" s="3">
        <v>0</v>
      </c>
      <c r="F69" s="3">
        <v>55</v>
      </c>
      <c r="G69" s="3" t="s">
        <v>34</v>
      </c>
      <c r="I69" s="12">
        <f t="shared" si="3"/>
        <v>0</v>
      </c>
      <c r="J69" s="12">
        <f t="shared" si="4"/>
        <v>-1.2410000000000001</v>
      </c>
    </row>
    <row r="70" spans="1:10" hidden="1" x14ac:dyDescent="0.2">
      <c r="A70" s="3" t="str">
        <f t="shared" si="1"/>
        <v>Red</v>
      </c>
      <c r="B70" s="3" t="s">
        <v>29</v>
      </c>
      <c r="C70" s="3">
        <v>69</v>
      </c>
      <c r="D70" s="3">
        <v>50</v>
      </c>
      <c r="E70" s="3">
        <v>0</v>
      </c>
      <c r="F70" s="3">
        <v>55</v>
      </c>
      <c r="G70" s="3" t="s">
        <v>34</v>
      </c>
      <c r="I70" s="12">
        <f t="shared" si="3"/>
        <v>0</v>
      </c>
      <c r="J70" s="12">
        <f t="shared" si="4"/>
        <v>-1.2410000000000001</v>
      </c>
    </row>
    <row r="71" spans="1:10" hidden="1" x14ac:dyDescent="0.2">
      <c r="A71" s="3" t="str">
        <f t="shared" ref="A71:A134" si="5">A70</f>
        <v>Red</v>
      </c>
      <c r="B71" s="3" t="s">
        <v>29</v>
      </c>
      <c r="C71" s="3">
        <v>70</v>
      </c>
      <c r="D71" s="3">
        <v>50</v>
      </c>
      <c r="E71" s="3">
        <v>0</v>
      </c>
      <c r="F71" s="3">
        <v>55</v>
      </c>
      <c r="G71" s="3" t="s">
        <v>34</v>
      </c>
      <c r="I71" s="12">
        <f t="shared" si="3"/>
        <v>0</v>
      </c>
      <c r="J71" s="12">
        <f t="shared" si="4"/>
        <v>-1.2410000000000001</v>
      </c>
    </row>
    <row r="72" spans="1:10" hidden="1" x14ac:dyDescent="0.2">
      <c r="A72" s="3" t="str">
        <f t="shared" si="5"/>
        <v>Red</v>
      </c>
      <c r="B72" s="3" t="s">
        <v>30</v>
      </c>
      <c r="C72" s="5">
        <v>71</v>
      </c>
      <c r="D72" s="3">
        <v>50</v>
      </c>
      <c r="E72" s="3">
        <v>0</v>
      </c>
      <c r="F72" s="3">
        <v>55</v>
      </c>
      <c r="G72" s="3" t="s">
        <v>34</v>
      </c>
      <c r="I72" s="12">
        <f t="shared" si="3"/>
        <v>0</v>
      </c>
      <c r="J72" s="12">
        <f t="shared" si="4"/>
        <v>-1.2410000000000001</v>
      </c>
    </row>
    <row r="73" spans="1:10" hidden="1" x14ac:dyDescent="0.2">
      <c r="A73" s="3" t="str">
        <f t="shared" si="5"/>
        <v>Red</v>
      </c>
      <c r="B73" s="3" t="s">
        <v>31</v>
      </c>
      <c r="C73" s="3">
        <v>72</v>
      </c>
      <c r="D73" s="3">
        <v>50</v>
      </c>
      <c r="E73" s="3">
        <v>0</v>
      </c>
      <c r="F73" s="3">
        <v>55</v>
      </c>
      <c r="G73" s="3" t="s">
        <v>34</v>
      </c>
      <c r="I73" s="12">
        <f t="shared" si="3"/>
        <v>0</v>
      </c>
      <c r="J73" s="12">
        <f t="shared" si="4"/>
        <v>-1.2410000000000001</v>
      </c>
    </row>
    <row r="74" spans="1:10" hidden="1" x14ac:dyDescent="0.2">
      <c r="A74" s="3" t="str">
        <f t="shared" si="5"/>
        <v>Red</v>
      </c>
      <c r="B74" s="3" t="s">
        <v>32</v>
      </c>
      <c r="C74" s="3">
        <v>73</v>
      </c>
      <c r="D74" s="3">
        <v>50</v>
      </c>
      <c r="E74" s="3">
        <v>0</v>
      </c>
      <c r="F74" s="3">
        <v>55</v>
      </c>
      <c r="G74" s="3" t="s">
        <v>34</v>
      </c>
      <c r="I74" s="12">
        <f t="shared" si="3"/>
        <v>0</v>
      </c>
      <c r="J74" s="12">
        <f t="shared" si="4"/>
        <v>-1.2410000000000001</v>
      </c>
    </row>
    <row r="75" spans="1:10" hidden="1" x14ac:dyDescent="0.2">
      <c r="A75" s="3" t="str">
        <f t="shared" si="5"/>
        <v>Red</v>
      </c>
      <c r="B75" s="3" t="s">
        <v>32</v>
      </c>
      <c r="C75" s="5">
        <v>74</v>
      </c>
      <c r="D75" s="3">
        <v>50</v>
      </c>
      <c r="E75" s="3">
        <v>0</v>
      </c>
      <c r="F75" s="3">
        <v>55</v>
      </c>
      <c r="G75" s="3" t="s">
        <v>34</v>
      </c>
      <c r="I75" s="12">
        <f t="shared" si="3"/>
        <v>0</v>
      </c>
      <c r="J75" s="12">
        <f t="shared" si="4"/>
        <v>-1.2410000000000001</v>
      </c>
    </row>
    <row r="76" spans="1:10" hidden="1" x14ac:dyDescent="0.2">
      <c r="A76" s="3" t="str">
        <f t="shared" si="5"/>
        <v>Red</v>
      </c>
      <c r="B76" s="3" t="s">
        <v>32</v>
      </c>
      <c r="C76" s="3">
        <v>75</v>
      </c>
      <c r="D76" s="3">
        <v>50</v>
      </c>
      <c r="E76" s="3">
        <v>0</v>
      </c>
      <c r="F76" s="3">
        <v>55</v>
      </c>
      <c r="G76" s="3" t="s">
        <v>34</v>
      </c>
      <c r="I76" s="12">
        <f t="shared" si="3"/>
        <v>0</v>
      </c>
      <c r="J76" s="12">
        <f t="shared" si="4"/>
        <v>-1.2410000000000001</v>
      </c>
    </row>
    <row r="77" spans="1:10" hidden="1" x14ac:dyDescent="0.2">
      <c r="A77" s="3" t="str">
        <f t="shared" si="5"/>
        <v>Red</v>
      </c>
      <c r="B77" s="3" t="s">
        <v>33</v>
      </c>
      <c r="C77" s="3">
        <v>76</v>
      </c>
      <c r="D77" s="3">
        <v>50</v>
      </c>
      <c r="E77" s="3">
        <v>0</v>
      </c>
      <c r="F77" s="3">
        <v>55</v>
      </c>
      <c r="G77" s="3" t="s">
        <v>34</v>
      </c>
      <c r="I77" s="12">
        <f t="shared" si="3"/>
        <v>0</v>
      </c>
      <c r="J77" s="12">
        <f t="shared" si="4"/>
        <v>-1.2410000000000001</v>
      </c>
    </row>
    <row r="78" spans="1:10" hidden="1" x14ac:dyDescent="0.2">
      <c r="A78" s="3" t="s">
        <v>35</v>
      </c>
      <c r="C78" s="5"/>
    </row>
    <row r="79" spans="1:10" hidden="1" x14ac:dyDescent="0.2">
      <c r="A79" s="3" t="str">
        <f t="shared" si="5"/>
        <v xml:space="preserve"> </v>
      </c>
      <c r="C79" s="5"/>
    </row>
    <row r="80" spans="1:10" hidden="1" x14ac:dyDescent="0.2">
      <c r="A80" s="3" t="str">
        <f t="shared" si="5"/>
        <v xml:space="preserve"> </v>
      </c>
      <c r="C80" s="5"/>
    </row>
    <row r="81" spans="1:3" hidden="1" x14ac:dyDescent="0.2">
      <c r="A81" s="3" t="str">
        <f t="shared" si="5"/>
        <v xml:space="preserve"> </v>
      </c>
      <c r="C81" s="5"/>
    </row>
    <row r="82" spans="1:3" hidden="1" x14ac:dyDescent="0.2">
      <c r="A82" s="3" t="str">
        <f t="shared" si="5"/>
        <v xml:space="preserve"> </v>
      </c>
      <c r="C82" s="5"/>
    </row>
    <row r="83" spans="1:3" hidden="1" x14ac:dyDescent="0.2">
      <c r="A83" s="3" t="str">
        <f t="shared" si="5"/>
        <v xml:space="preserve"> </v>
      </c>
      <c r="C83" s="5"/>
    </row>
    <row r="84" spans="1:3" hidden="1" x14ac:dyDescent="0.2">
      <c r="A84" s="3" t="str">
        <f t="shared" si="5"/>
        <v xml:space="preserve"> </v>
      </c>
      <c r="C84" s="5"/>
    </row>
    <row r="85" spans="1:3" hidden="1" x14ac:dyDescent="0.2">
      <c r="A85" s="3" t="str">
        <f t="shared" si="5"/>
        <v xml:space="preserve"> </v>
      </c>
      <c r="C85" s="5"/>
    </row>
    <row r="86" spans="1:3" hidden="1" x14ac:dyDescent="0.2">
      <c r="A86" s="3" t="str">
        <f t="shared" si="5"/>
        <v xml:space="preserve"> </v>
      </c>
      <c r="C86" s="5"/>
    </row>
    <row r="87" spans="1:3" hidden="1" x14ac:dyDescent="0.2">
      <c r="A87" s="3" t="str">
        <f t="shared" si="5"/>
        <v xml:space="preserve"> </v>
      </c>
      <c r="C87" s="5"/>
    </row>
    <row r="88" spans="1:3" hidden="1" x14ac:dyDescent="0.2">
      <c r="A88" s="3" t="str">
        <f t="shared" si="5"/>
        <v xml:space="preserve"> </v>
      </c>
      <c r="C88" s="5"/>
    </row>
    <row r="89" spans="1:3" hidden="1" x14ac:dyDescent="0.2">
      <c r="A89" s="3" t="str">
        <f t="shared" si="5"/>
        <v xml:space="preserve"> </v>
      </c>
      <c r="C89" s="5"/>
    </row>
    <row r="90" spans="1:3" hidden="1" x14ac:dyDescent="0.2">
      <c r="A90" s="3" t="str">
        <f t="shared" si="5"/>
        <v xml:space="preserve"> </v>
      </c>
      <c r="C90" s="5"/>
    </row>
    <row r="91" spans="1:3" hidden="1" x14ac:dyDescent="0.2">
      <c r="A91" s="3" t="str">
        <f t="shared" si="5"/>
        <v xml:space="preserve"> </v>
      </c>
      <c r="C91" s="5"/>
    </row>
    <row r="92" spans="1:3" hidden="1" x14ac:dyDescent="0.2">
      <c r="A92" s="3" t="str">
        <f t="shared" si="5"/>
        <v xml:space="preserve"> </v>
      </c>
      <c r="C92" s="5"/>
    </row>
    <row r="93" spans="1:3" hidden="1" x14ac:dyDescent="0.2">
      <c r="A93" s="3" t="str">
        <f t="shared" si="5"/>
        <v xml:space="preserve"> </v>
      </c>
      <c r="C93" s="5"/>
    </row>
    <row r="94" spans="1:3" hidden="1" x14ac:dyDescent="0.2">
      <c r="A94" s="3" t="str">
        <f t="shared" si="5"/>
        <v xml:space="preserve"> </v>
      </c>
      <c r="C94" s="5"/>
    </row>
    <row r="95" spans="1:3" hidden="1" x14ac:dyDescent="0.2">
      <c r="A95" s="3" t="str">
        <f t="shared" si="5"/>
        <v xml:space="preserve"> </v>
      </c>
      <c r="C95" s="5"/>
    </row>
    <row r="96" spans="1:3" hidden="1" x14ac:dyDescent="0.2">
      <c r="A96" s="3" t="str">
        <f t="shared" si="5"/>
        <v xml:space="preserve"> </v>
      </c>
      <c r="C96" s="5"/>
    </row>
    <row r="97" spans="1:3" hidden="1" x14ac:dyDescent="0.2">
      <c r="A97" s="3" t="str">
        <f t="shared" si="5"/>
        <v xml:space="preserve"> </v>
      </c>
      <c r="C97" s="5"/>
    </row>
    <row r="98" spans="1:3" hidden="1" x14ac:dyDescent="0.2">
      <c r="A98" s="3" t="str">
        <f t="shared" si="5"/>
        <v xml:space="preserve"> </v>
      </c>
      <c r="C98" s="5"/>
    </row>
    <row r="99" spans="1:3" hidden="1" x14ac:dyDescent="0.2">
      <c r="A99" s="3" t="str">
        <f t="shared" si="5"/>
        <v xml:space="preserve"> </v>
      </c>
      <c r="C99" s="5"/>
    </row>
    <row r="100" spans="1:3" hidden="1" x14ac:dyDescent="0.2">
      <c r="A100" s="3" t="str">
        <f t="shared" si="5"/>
        <v xml:space="preserve"> </v>
      </c>
      <c r="C100" s="5"/>
    </row>
    <row r="101" spans="1:3" hidden="1" x14ac:dyDescent="0.2">
      <c r="A101" s="3" t="str">
        <f t="shared" si="5"/>
        <v xml:space="preserve"> </v>
      </c>
      <c r="C101" s="5"/>
    </row>
    <row r="102" spans="1:3" hidden="1" x14ac:dyDescent="0.2">
      <c r="A102" s="3" t="str">
        <f t="shared" si="5"/>
        <v xml:space="preserve"> </v>
      </c>
      <c r="C102" s="5"/>
    </row>
    <row r="103" spans="1:3" hidden="1" x14ac:dyDescent="0.2">
      <c r="A103" s="3" t="str">
        <f t="shared" si="5"/>
        <v xml:space="preserve"> </v>
      </c>
      <c r="C103" s="5"/>
    </row>
    <row r="104" spans="1:3" hidden="1" x14ac:dyDescent="0.2">
      <c r="A104" s="3" t="str">
        <f t="shared" si="5"/>
        <v xml:space="preserve"> </v>
      </c>
      <c r="C104" s="5"/>
    </row>
    <row r="105" spans="1:3" hidden="1" x14ac:dyDescent="0.2">
      <c r="A105" s="3" t="str">
        <f t="shared" si="5"/>
        <v xml:space="preserve"> </v>
      </c>
      <c r="C105" s="5"/>
    </row>
    <row r="106" spans="1:3" hidden="1" x14ac:dyDescent="0.2">
      <c r="A106" s="3" t="str">
        <f t="shared" si="5"/>
        <v xml:space="preserve"> </v>
      </c>
      <c r="C106" s="5"/>
    </row>
    <row r="107" spans="1:3" hidden="1" x14ac:dyDescent="0.2">
      <c r="A107" s="3" t="str">
        <f t="shared" si="5"/>
        <v xml:space="preserve"> </v>
      </c>
      <c r="C107" s="5"/>
    </row>
    <row r="108" spans="1:3" hidden="1" x14ac:dyDescent="0.2">
      <c r="A108" s="3" t="str">
        <f t="shared" si="5"/>
        <v xml:space="preserve"> </v>
      </c>
      <c r="C108" s="5"/>
    </row>
    <row r="109" spans="1:3" hidden="1" x14ac:dyDescent="0.2">
      <c r="A109" s="3" t="str">
        <f t="shared" si="5"/>
        <v xml:space="preserve"> </v>
      </c>
      <c r="C109" s="5"/>
    </row>
    <row r="110" spans="1:3" hidden="1" x14ac:dyDescent="0.2">
      <c r="A110" s="3" t="str">
        <f t="shared" si="5"/>
        <v xml:space="preserve"> </v>
      </c>
      <c r="C110" s="5"/>
    </row>
    <row r="111" spans="1:3" hidden="1" x14ac:dyDescent="0.2">
      <c r="A111" s="3" t="str">
        <f t="shared" si="5"/>
        <v xml:space="preserve"> </v>
      </c>
      <c r="C111" s="5"/>
    </row>
    <row r="112" spans="1:3" hidden="1" x14ac:dyDescent="0.2">
      <c r="A112" s="3" t="str">
        <f t="shared" si="5"/>
        <v xml:space="preserve"> </v>
      </c>
      <c r="C112" s="5"/>
    </row>
    <row r="113" spans="1:3" hidden="1" x14ac:dyDescent="0.2">
      <c r="A113" s="3" t="str">
        <f t="shared" si="5"/>
        <v xml:space="preserve"> </v>
      </c>
      <c r="C113" s="5"/>
    </row>
    <row r="114" spans="1:3" hidden="1" x14ac:dyDescent="0.2">
      <c r="A114" s="3" t="str">
        <f t="shared" si="5"/>
        <v xml:space="preserve"> </v>
      </c>
      <c r="C114" s="5"/>
    </row>
    <row r="115" spans="1:3" hidden="1" x14ac:dyDescent="0.2">
      <c r="A115" s="3" t="str">
        <f t="shared" si="5"/>
        <v xml:space="preserve"> </v>
      </c>
      <c r="C115" s="5"/>
    </row>
    <row r="116" spans="1:3" hidden="1" x14ac:dyDescent="0.2">
      <c r="A116" s="3" t="str">
        <f t="shared" si="5"/>
        <v xml:space="preserve"> </v>
      </c>
      <c r="C116" s="5"/>
    </row>
    <row r="117" spans="1:3" hidden="1" x14ac:dyDescent="0.2">
      <c r="A117" s="3" t="str">
        <f t="shared" si="5"/>
        <v xml:space="preserve"> </v>
      </c>
      <c r="C117" s="5"/>
    </row>
    <row r="118" spans="1:3" hidden="1" x14ac:dyDescent="0.2">
      <c r="A118" s="3" t="str">
        <f t="shared" si="5"/>
        <v xml:space="preserve"> </v>
      </c>
      <c r="C118" s="5"/>
    </row>
    <row r="119" spans="1:3" hidden="1" x14ac:dyDescent="0.2">
      <c r="A119" s="3" t="str">
        <f t="shared" si="5"/>
        <v xml:space="preserve"> </v>
      </c>
      <c r="C119" s="5"/>
    </row>
    <row r="120" spans="1:3" hidden="1" x14ac:dyDescent="0.2">
      <c r="A120" s="3" t="str">
        <f t="shared" si="5"/>
        <v xml:space="preserve"> </v>
      </c>
      <c r="C120" s="5"/>
    </row>
    <row r="121" spans="1:3" hidden="1" x14ac:dyDescent="0.2">
      <c r="A121" s="3" t="str">
        <f t="shared" si="5"/>
        <v xml:space="preserve"> </v>
      </c>
      <c r="C121" s="5"/>
    </row>
    <row r="122" spans="1:3" hidden="1" x14ac:dyDescent="0.2">
      <c r="A122" s="3" t="str">
        <f t="shared" si="5"/>
        <v xml:space="preserve"> </v>
      </c>
      <c r="C122" s="5"/>
    </row>
    <row r="123" spans="1:3" hidden="1" x14ac:dyDescent="0.2">
      <c r="A123" s="3" t="str">
        <f t="shared" si="5"/>
        <v xml:space="preserve"> </v>
      </c>
      <c r="C123" s="5"/>
    </row>
    <row r="124" spans="1:3" hidden="1" x14ac:dyDescent="0.2">
      <c r="A124" s="3" t="str">
        <f t="shared" si="5"/>
        <v xml:space="preserve"> </v>
      </c>
      <c r="C124" s="5"/>
    </row>
    <row r="125" spans="1:3" hidden="1" x14ac:dyDescent="0.2">
      <c r="A125" s="3" t="str">
        <f t="shared" si="5"/>
        <v xml:space="preserve"> </v>
      </c>
      <c r="C125" s="5"/>
    </row>
    <row r="126" spans="1:3" hidden="1" x14ac:dyDescent="0.2">
      <c r="A126" s="3" t="str">
        <f t="shared" si="5"/>
        <v xml:space="preserve"> </v>
      </c>
      <c r="C126" s="5"/>
    </row>
    <row r="127" spans="1:3" hidden="1" x14ac:dyDescent="0.2">
      <c r="A127" s="3" t="str">
        <f t="shared" si="5"/>
        <v xml:space="preserve"> </v>
      </c>
      <c r="C127" s="5"/>
    </row>
    <row r="128" spans="1:3" hidden="1" x14ac:dyDescent="0.2">
      <c r="A128" s="3" t="str">
        <f t="shared" si="5"/>
        <v xml:space="preserve"> </v>
      </c>
      <c r="C128" s="5"/>
    </row>
    <row r="129" spans="1:3" hidden="1" x14ac:dyDescent="0.2">
      <c r="A129" s="3" t="str">
        <f t="shared" si="5"/>
        <v xml:space="preserve"> </v>
      </c>
      <c r="C129" s="5"/>
    </row>
    <row r="130" spans="1:3" hidden="1" x14ac:dyDescent="0.2">
      <c r="A130" s="3" t="str">
        <f t="shared" si="5"/>
        <v xml:space="preserve"> </v>
      </c>
      <c r="C130" s="5"/>
    </row>
    <row r="131" spans="1:3" hidden="1" x14ac:dyDescent="0.2">
      <c r="A131" s="3" t="str">
        <f t="shared" si="5"/>
        <v xml:space="preserve"> </v>
      </c>
      <c r="C131" s="5"/>
    </row>
    <row r="132" spans="1:3" hidden="1" x14ac:dyDescent="0.2">
      <c r="A132" s="3" t="str">
        <f t="shared" si="5"/>
        <v xml:space="preserve"> </v>
      </c>
      <c r="C132" s="5"/>
    </row>
    <row r="133" spans="1:3" hidden="1" x14ac:dyDescent="0.2">
      <c r="A133" s="3" t="str">
        <f t="shared" si="5"/>
        <v xml:space="preserve"> </v>
      </c>
      <c r="C133" s="5"/>
    </row>
    <row r="134" spans="1:3" hidden="1" x14ac:dyDescent="0.2">
      <c r="A134" s="3" t="str">
        <f t="shared" si="5"/>
        <v xml:space="preserve"> </v>
      </c>
      <c r="C134" s="5"/>
    </row>
    <row r="135" spans="1:3" hidden="1" x14ac:dyDescent="0.2">
      <c r="A135" s="3" t="str">
        <f t="shared" ref="A135:A154" si="6">A134</f>
        <v xml:space="preserve"> </v>
      </c>
      <c r="C135" s="5"/>
    </row>
    <row r="136" spans="1:3" hidden="1" x14ac:dyDescent="0.2">
      <c r="A136" s="3" t="str">
        <f t="shared" si="6"/>
        <v xml:space="preserve"> </v>
      </c>
      <c r="C136" s="5"/>
    </row>
    <row r="137" spans="1:3" hidden="1" x14ac:dyDescent="0.2">
      <c r="A137" s="3" t="str">
        <f t="shared" si="6"/>
        <v xml:space="preserve"> </v>
      </c>
      <c r="C137" s="5"/>
    </row>
    <row r="138" spans="1:3" hidden="1" x14ac:dyDescent="0.2">
      <c r="A138" s="3" t="str">
        <f t="shared" si="6"/>
        <v xml:space="preserve"> </v>
      </c>
      <c r="C138" s="5"/>
    </row>
    <row r="139" spans="1:3" hidden="1" x14ac:dyDescent="0.2">
      <c r="A139" s="3" t="str">
        <f t="shared" si="6"/>
        <v xml:space="preserve"> </v>
      </c>
      <c r="C139" s="5"/>
    </row>
    <row r="140" spans="1:3" hidden="1" x14ac:dyDescent="0.2">
      <c r="A140" s="3" t="str">
        <f t="shared" si="6"/>
        <v xml:space="preserve"> </v>
      </c>
      <c r="C140" s="5"/>
    </row>
    <row r="141" spans="1:3" hidden="1" x14ac:dyDescent="0.2">
      <c r="A141" s="3" t="str">
        <f t="shared" si="6"/>
        <v xml:space="preserve"> </v>
      </c>
      <c r="C141" s="5"/>
    </row>
    <row r="142" spans="1:3" hidden="1" x14ac:dyDescent="0.2">
      <c r="A142" s="3" t="str">
        <f t="shared" si="6"/>
        <v xml:space="preserve"> </v>
      </c>
      <c r="C142" s="5"/>
    </row>
    <row r="143" spans="1:3" hidden="1" x14ac:dyDescent="0.2">
      <c r="A143" s="3" t="str">
        <f t="shared" si="6"/>
        <v xml:space="preserve"> </v>
      </c>
      <c r="C143" s="5"/>
    </row>
    <row r="144" spans="1:3" hidden="1" x14ac:dyDescent="0.2">
      <c r="A144" s="3" t="str">
        <f t="shared" si="6"/>
        <v xml:space="preserve"> </v>
      </c>
      <c r="C144" s="5"/>
    </row>
    <row r="145" spans="1:3" hidden="1" x14ac:dyDescent="0.2">
      <c r="A145" s="3" t="str">
        <f t="shared" si="6"/>
        <v xml:space="preserve"> </v>
      </c>
      <c r="C145" s="5"/>
    </row>
    <row r="146" spans="1:3" hidden="1" x14ac:dyDescent="0.2">
      <c r="A146" s="3" t="str">
        <f t="shared" si="6"/>
        <v xml:space="preserve"> </v>
      </c>
      <c r="C146" s="5"/>
    </row>
    <row r="147" spans="1:3" hidden="1" x14ac:dyDescent="0.2">
      <c r="A147" s="3" t="str">
        <f t="shared" si="6"/>
        <v xml:space="preserve"> </v>
      </c>
      <c r="C147" s="5"/>
    </row>
    <row r="148" spans="1:3" hidden="1" x14ac:dyDescent="0.2">
      <c r="A148" s="3" t="str">
        <f t="shared" si="6"/>
        <v xml:space="preserve"> </v>
      </c>
      <c r="C148" s="5"/>
    </row>
    <row r="149" spans="1:3" hidden="1" x14ac:dyDescent="0.2">
      <c r="A149" s="3" t="str">
        <f t="shared" si="6"/>
        <v xml:space="preserve"> </v>
      </c>
      <c r="C149" s="5"/>
    </row>
    <row r="150" spans="1:3" hidden="1" x14ac:dyDescent="0.2">
      <c r="A150" s="3" t="str">
        <f t="shared" si="6"/>
        <v xml:space="preserve"> </v>
      </c>
      <c r="C150" s="5"/>
    </row>
    <row r="151" spans="1:3" hidden="1" x14ac:dyDescent="0.2">
      <c r="A151" s="3" t="str">
        <f t="shared" si="6"/>
        <v xml:space="preserve"> </v>
      </c>
      <c r="C151" s="5"/>
    </row>
    <row r="152" spans="1:3" hidden="1" x14ac:dyDescent="0.2">
      <c r="A152" s="3" t="str">
        <f t="shared" si="6"/>
        <v xml:space="preserve"> </v>
      </c>
      <c r="C152" s="5"/>
    </row>
    <row r="153" spans="1:3" hidden="1" x14ac:dyDescent="0.2">
      <c r="A153" s="3" t="str">
        <f t="shared" si="6"/>
        <v xml:space="preserve"> </v>
      </c>
      <c r="C153" s="5"/>
    </row>
    <row r="154" spans="1:3" hidden="1" x14ac:dyDescent="0.2">
      <c r="A154" s="3" t="str">
        <f t="shared" si="6"/>
        <v xml:space="preserve"> </v>
      </c>
      <c r="C154" s="5"/>
    </row>
  </sheetData>
  <autoFilter ref="A1:J154" xr:uid="{00000000-0001-0000-0100-000000000000}">
    <filterColumn colId="6">
      <filters>
        <filter val="STATION;     STEEL PLAZA; UNDERGROUND"/>
        <filter val="STATION; FIRST AVE; UNDERGROUND"/>
        <filter val="STATION; PENN STATION; UNDERGROUND"/>
        <filter val="STATION; SOUTH HILLS JUNCTION"/>
        <filter val="STATION; STATION SQUARE"/>
        <filter val="STATION; SWISSVILLE"/>
        <filter val="STATION: HERRON AVE"/>
        <filter val="STATION: SHADYSIDE"/>
        <filter val="SWITCH (15-16; 1-16)"/>
        <filter val="SWITCH (27-28; 27-76); UNDERGROUND"/>
        <filter val="SWITCH (32-33; 33-72); UNDERGROUND"/>
        <filter val="SWITCH (38-39; 38-71); UNDERGROUND"/>
        <filter val="SWITCH (43-44; 44-67); UNDERGROUND"/>
        <filter val="SWITCH (52-53; 52-66)"/>
        <filter val="SWITCH TO/FROM YARD (75-yard)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151"/>
  <sheetViews>
    <sheetView zoomScaleNormal="120" workbookViewId="0">
      <pane ySplit="1" topLeftCell="A3" activePane="bottomLeft" state="frozen"/>
      <selection pane="bottomLeft" activeCell="O106" sqref="O106"/>
    </sheetView>
  </sheetViews>
  <sheetFormatPr baseColWidth="10" defaultColWidth="8.83203125" defaultRowHeight="16" x14ac:dyDescent="0.2"/>
  <cols>
    <col min="1" max="1" width="8.83203125" style="3"/>
    <col min="2" max="2" width="12.83203125" style="3" customWidth="1"/>
    <col min="3" max="3" width="8.5" style="3" customWidth="1"/>
    <col min="4" max="4" width="11" style="3" customWidth="1"/>
    <col min="5" max="5" width="10.5" style="3" customWidth="1"/>
    <col min="6" max="6" width="13.33203125" style="3" customWidth="1"/>
    <col min="7" max="7" width="31" style="3" customWidth="1"/>
    <col min="8" max="8" width="8.83203125" style="3"/>
    <col min="9" max="12" width="8.83203125" style="1"/>
    <col min="13" max="13" width="11.5" style="1" customWidth="1"/>
    <col min="14" max="16384" width="8.83203125" style="1"/>
  </cols>
  <sheetData>
    <row r="1" spans="1:13" ht="38" customHeight="1" x14ac:dyDescent="0.2">
      <c r="A1" s="4" t="s">
        <v>1</v>
      </c>
      <c r="B1" s="4" t="s">
        <v>7</v>
      </c>
      <c r="C1" s="2" t="s">
        <v>0</v>
      </c>
      <c r="D1" s="2" t="s">
        <v>3</v>
      </c>
      <c r="E1" s="2" t="s">
        <v>4</v>
      </c>
      <c r="F1" s="2" t="s">
        <v>43</v>
      </c>
      <c r="G1" s="4" t="s">
        <v>11</v>
      </c>
      <c r="H1" s="2" t="s">
        <v>88</v>
      </c>
      <c r="I1" s="7" t="s">
        <v>36</v>
      </c>
      <c r="J1" s="7" t="s">
        <v>37</v>
      </c>
      <c r="K1" s="7" t="s">
        <v>80</v>
      </c>
      <c r="L1" s="27" t="s">
        <v>94</v>
      </c>
    </row>
    <row r="2" spans="1:13" x14ac:dyDescent="0.2">
      <c r="A2" s="3" t="s">
        <v>2</v>
      </c>
      <c r="B2" s="3" t="s">
        <v>8</v>
      </c>
      <c r="C2" s="5">
        <v>1</v>
      </c>
      <c r="D2" s="3">
        <v>100</v>
      </c>
      <c r="E2" s="3">
        <v>0.5</v>
      </c>
      <c r="F2" s="3">
        <v>45</v>
      </c>
      <c r="I2" s="3">
        <f>E2*D2/100</f>
        <v>0.5</v>
      </c>
      <c r="J2" s="3">
        <f>I2</f>
        <v>0.5</v>
      </c>
      <c r="K2" s="15">
        <f t="shared" ref="K2:K65" si="0">D2*(1/(F2*1000/(60*60)))</f>
        <v>8</v>
      </c>
      <c r="M2" s="23"/>
    </row>
    <row r="3" spans="1:13" ht="17" x14ac:dyDescent="0.2">
      <c r="A3" s="3" t="str">
        <f>A2</f>
        <v>Green</v>
      </c>
      <c r="B3" s="3" t="s">
        <v>8</v>
      </c>
      <c r="C3" s="3">
        <v>2</v>
      </c>
      <c r="D3" s="3">
        <v>100</v>
      </c>
      <c r="E3" s="3">
        <v>1</v>
      </c>
      <c r="F3" s="3">
        <v>45</v>
      </c>
      <c r="G3" s="11" t="s">
        <v>50</v>
      </c>
      <c r="H3" s="3" t="s">
        <v>89</v>
      </c>
      <c r="I3" s="3">
        <f t="shared" ref="I3:I66" si="1">E3*D3/100</f>
        <v>1</v>
      </c>
      <c r="J3" s="3">
        <f>I3+J2</f>
        <v>1.5</v>
      </c>
      <c r="K3" s="15">
        <f t="shared" si="0"/>
        <v>8</v>
      </c>
      <c r="L3" s="1" t="b">
        <v>1</v>
      </c>
    </row>
    <row r="4" spans="1:13" x14ac:dyDescent="0.2">
      <c r="A4" s="3" t="str">
        <f t="shared" ref="A4:A70" si="2">A3</f>
        <v>Green</v>
      </c>
      <c r="B4" s="3" t="s">
        <v>8</v>
      </c>
      <c r="C4" s="3">
        <v>3</v>
      </c>
      <c r="D4" s="3">
        <v>100</v>
      </c>
      <c r="E4" s="3">
        <v>1.5</v>
      </c>
      <c r="F4" s="3">
        <v>45</v>
      </c>
      <c r="I4" s="3">
        <f t="shared" si="1"/>
        <v>1.5</v>
      </c>
      <c r="J4" s="3">
        <f t="shared" ref="J4:J67" si="3">I4+J3</f>
        <v>3</v>
      </c>
      <c r="K4" s="15">
        <f t="shared" si="0"/>
        <v>8</v>
      </c>
      <c r="L4" s="9"/>
    </row>
    <row r="5" spans="1:13" x14ac:dyDescent="0.2">
      <c r="A5" s="3" t="str">
        <f t="shared" si="2"/>
        <v>Green</v>
      </c>
      <c r="B5" s="3" t="s">
        <v>9</v>
      </c>
      <c r="C5" s="5">
        <v>4</v>
      </c>
      <c r="D5" s="3">
        <v>100</v>
      </c>
      <c r="E5" s="3">
        <v>2</v>
      </c>
      <c r="F5" s="3">
        <v>45</v>
      </c>
      <c r="I5" s="3">
        <f t="shared" si="1"/>
        <v>2</v>
      </c>
      <c r="J5" s="3">
        <f t="shared" si="3"/>
        <v>5</v>
      </c>
      <c r="K5" s="15">
        <f t="shared" si="0"/>
        <v>8</v>
      </c>
    </row>
    <row r="6" spans="1:13" x14ac:dyDescent="0.2">
      <c r="A6" s="3" t="str">
        <f t="shared" si="2"/>
        <v>Green</v>
      </c>
      <c r="B6" s="3" t="s">
        <v>9</v>
      </c>
      <c r="C6" s="3">
        <v>5</v>
      </c>
      <c r="D6" s="3">
        <v>100</v>
      </c>
      <c r="E6" s="3">
        <v>3</v>
      </c>
      <c r="F6" s="3">
        <v>45</v>
      </c>
      <c r="I6" s="3">
        <f t="shared" si="1"/>
        <v>3</v>
      </c>
      <c r="J6" s="3">
        <f t="shared" si="3"/>
        <v>8</v>
      </c>
      <c r="K6" s="15">
        <f t="shared" si="0"/>
        <v>8</v>
      </c>
    </row>
    <row r="7" spans="1:13" x14ac:dyDescent="0.2">
      <c r="A7" s="3" t="str">
        <f t="shared" si="2"/>
        <v>Green</v>
      </c>
      <c r="B7" s="3" t="s">
        <v>9</v>
      </c>
      <c r="C7" s="3">
        <v>6</v>
      </c>
      <c r="D7" s="3">
        <v>100</v>
      </c>
      <c r="E7" s="3">
        <v>4</v>
      </c>
      <c r="F7" s="3">
        <v>45</v>
      </c>
      <c r="I7" s="3">
        <f t="shared" si="1"/>
        <v>4</v>
      </c>
      <c r="J7" s="3">
        <f t="shared" si="3"/>
        <v>12</v>
      </c>
      <c r="K7" s="15">
        <f t="shared" si="0"/>
        <v>8</v>
      </c>
    </row>
    <row r="8" spans="1:13" x14ac:dyDescent="0.2">
      <c r="A8" s="3" t="str">
        <f t="shared" si="2"/>
        <v>Green</v>
      </c>
      <c r="B8" s="3" t="s">
        <v>10</v>
      </c>
      <c r="C8" s="5">
        <v>7</v>
      </c>
      <c r="D8" s="3">
        <v>100</v>
      </c>
      <c r="E8" s="3">
        <v>5</v>
      </c>
      <c r="F8" s="3">
        <v>45</v>
      </c>
      <c r="G8" s="11"/>
      <c r="I8" s="3">
        <f t="shared" si="1"/>
        <v>5</v>
      </c>
      <c r="J8" s="3">
        <f t="shared" si="3"/>
        <v>17</v>
      </c>
      <c r="K8" s="15">
        <f t="shared" si="0"/>
        <v>8</v>
      </c>
    </row>
    <row r="9" spans="1:13" x14ac:dyDescent="0.2">
      <c r="A9" s="3" t="str">
        <f t="shared" si="2"/>
        <v>Green</v>
      </c>
      <c r="B9" s="3" t="s">
        <v>10</v>
      </c>
      <c r="C9" s="3">
        <v>8</v>
      </c>
      <c r="D9" s="3">
        <v>100</v>
      </c>
      <c r="E9" s="3">
        <v>0</v>
      </c>
      <c r="F9" s="3">
        <v>45</v>
      </c>
      <c r="I9" s="3">
        <f t="shared" si="1"/>
        <v>0</v>
      </c>
      <c r="J9" s="3">
        <f t="shared" si="3"/>
        <v>17</v>
      </c>
      <c r="K9" s="15">
        <f t="shared" si="0"/>
        <v>8</v>
      </c>
    </row>
    <row r="10" spans="1:13" ht="17" x14ac:dyDescent="0.2">
      <c r="A10" s="3" t="str">
        <f t="shared" si="2"/>
        <v>Green</v>
      </c>
      <c r="B10" s="3" t="s">
        <v>10</v>
      </c>
      <c r="C10" s="3">
        <v>9</v>
      </c>
      <c r="D10" s="3">
        <v>100</v>
      </c>
      <c r="E10" s="3">
        <v>-5</v>
      </c>
      <c r="F10" s="3">
        <v>45</v>
      </c>
      <c r="G10" s="11" t="s">
        <v>51</v>
      </c>
      <c r="H10" s="3" t="s">
        <v>89</v>
      </c>
      <c r="I10" s="3">
        <f t="shared" si="1"/>
        <v>-5</v>
      </c>
      <c r="J10" s="3">
        <f t="shared" si="3"/>
        <v>12</v>
      </c>
      <c r="K10" s="15">
        <f t="shared" si="0"/>
        <v>8</v>
      </c>
      <c r="L10" s="1" t="b">
        <v>1</v>
      </c>
    </row>
    <row r="11" spans="1:13" x14ac:dyDescent="0.2">
      <c r="A11" s="3" t="str">
        <f t="shared" si="2"/>
        <v>Green</v>
      </c>
      <c r="B11" s="3" t="s">
        <v>10</v>
      </c>
      <c r="C11" s="5">
        <v>10</v>
      </c>
      <c r="D11" s="3">
        <v>100</v>
      </c>
      <c r="E11" s="3">
        <v>-4.5</v>
      </c>
      <c r="F11" s="3">
        <v>45</v>
      </c>
      <c r="I11" s="3">
        <f t="shared" si="1"/>
        <v>-4.5</v>
      </c>
      <c r="J11" s="3">
        <f t="shared" si="3"/>
        <v>7.5</v>
      </c>
      <c r="K11" s="15">
        <f t="shared" si="0"/>
        <v>8</v>
      </c>
    </row>
    <row r="12" spans="1:13" x14ac:dyDescent="0.2">
      <c r="A12" s="3" t="str">
        <f t="shared" si="2"/>
        <v>Green</v>
      </c>
      <c r="B12" s="3" t="s">
        <v>10</v>
      </c>
      <c r="C12" s="3">
        <v>11</v>
      </c>
      <c r="D12" s="3">
        <v>100</v>
      </c>
      <c r="E12" s="3">
        <v>-4</v>
      </c>
      <c r="F12" s="3">
        <v>45</v>
      </c>
      <c r="I12" s="3">
        <f t="shared" si="1"/>
        <v>-4</v>
      </c>
      <c r="J12" s="3">
        <f t="shared" si="3"/>
        <v>3.5</v>
      </c>
      <c r="K12" s="15">
        <f t="shared" si="0"/>
        <v>8</v>
      </c>
    </row>
    <row r="13" spans="1:13" x14ac:dyDescent="0.2">
      <c r="A13" s="3" t="str">
        <f t="shared" si="2"/>
        <v>Green</v>
      </c>
      <c r="B13" s="3" t="s">
        <v>10</v>
      </c>
      <c r="C13" s="5">
        <v>12</v>
      </c>
      <c r="D13" s="3">
        <v>100</v>
      </c>
      <c r="E13" s="3">
        <v>-3</v>
      </c>
      <c r="F13" s="3">
        <v>45</v>
      </c>
      <c r="G13" s="3" t="s">
        <v>64</v>
      </c>
      <c r="I13" s="3">
        <f t="shared" si="1"/>
        <v>-3</v>
      </c>
      <c r="J13" s="3">
        <f t="shared" si="3"/>
        <v>0.5</v>
      </c>
      <c r="K13" s="15">
        <f t="shared" si="0"/>
        <v>8</v>
      </c>
      <c r="L13" s="1" t="b">
        <v>1</v>
      </c>
    </row>
    <row r="14" spans="1:13" x14ac:dyDescent="0.2">
      <c r="A14" s="3" t="str">
        <f t="shared" si="2"/>
        <v>Green</v>
      </c>
      <c r="B14" s="3" t="s">
        <v>13</v>
      </c>
      <c r="C14" s="3">
        <v>13</v>
      </c>
      <c r="D14" s="3">
        <v>150</v>
      </c>
      <c r="E14" s="3">
        <v>0</v>
      </c>
      <c r="F14" s="3">
        <v>70</v>
      </c>
      <c r="I14" s="3">
        <f t="shared" si="1"/>
        <v>0</v>
      </c>
      <c r="J14" s="3">
        <f t="shared" si="3"/>
        <v>0.5</v>
      </c>
      <c r="K14" s="15">
        <f t="shared" si="0"/>
        <v>7.7142857142857153</v>
      </c>
    </row>
    <row r="15" spans="1:13" x14ac:dyDescent="0.2">
      <c r="A15" s="3" t="str">
        <f t="shared" si="2"/>
        <v>Green</v>
      </c>
      <c r="B15" s="3" t="s">
        <v>13</v>
      </c>
      <c r="C15" s="3">
        <v>14</v>
      </c>
      <c r="D15" s="3">
        <v>150</v>
      </c>
      <c r="E15" s="3">
        <v>0</v>
      </c>
      <c r="F15" s="3">
        <v>70</v>
      </c>
      <c r="I15" s="3">
        <f t="shared" si="1"/>
        <v>0</v>
      </c>
      <c r="J15" s="3">
        <f t="shared" si="3"/>
        <v>0.5</v>
      </c>
      <c r="K15" s="15">
        <f t="shared" si="0"/>
        <v>7.7142857142857153</v>
      </c>
    </row>
    <row r="16" spans="1:13" x14ac:dyDescent="0.2">
      <c r="A16" s="3" t="str">
        <f t="shared" si="2"/>
        <v>Green</v>
      </c>
      <c r="B16" s="3" t="s">
        <v>13</v>
      </c>
      <c r="C16" s="5">
        <v>15</v>
      </c>
      <c r="D16" s="3">
        <v>150</v>
      </c>
      <c r="E16" s="3">
        <v>0</v>
      </c>
      <c r="F16" s="3">
        <v>70</v>
      </c>
      <c r="I16" s="3">
        <f t="shared" si="1"/>
        <v>0</v>
      </c>
      <c r="J16" s="3">
        <f t="shared" si="3"/>
        <v>0.5</v>
      </c>
      <c r="K16" s="15">
        <f t="shared" si="0"/>
        <v>7.7142857142857153</v>
      </c>
    </row>
    <row r="17" spans="1:12" ht="17" x14ac:dyDescent="0.2">
      <c r="A17" s="3" t="str">
        <f t="shared" si="2"/>
        <v>Green</v>
      </c>
      <c r="B17" s="3" t="s">
        <v>13</v>
      </c>
      <c r="C17" s="3">
        <v>16</v>
      </c>
      <c r="D17" s="3">
        <v>150</v>
      </c>
      <c r="E17" s="3">
        <v>0</v>
      </c>
      <c r="F17" s="3">
        <v>70</v>
      </c>
      <c r="G17" s="11" t="s">
        <v>22</v>
      </c>
      <c r="H17" s="3" t="s">
        <v>90</v>
      </c>
      <c r="I17" s="3">
        <f t="shared" si="1"/>
        <v>0</v>
      </c>
      <c r="J17" s="3">
        <f t="shared" si="3"/>
        <v>0.5</v>
      </c>
      <c r="K17" s="15">
        <f t="shared" si="0"/>
        <v>7.7142857142857153</v>
      </c>
      <c r="L17" s="1" t="b">
        <v>1</v>
      </c>
    </row>
    <row r="18" spans="1:12" x14ac:dyDescent="0.2">
      <c r="A18" s="3" t="str">
        <f t="shared" si="2"/>
        <v>Green</v>
      </c>
      <c r="B18" s="3" t="s">
        <v>14</v>
      </c>
      <c r="C18" s="5">
        <v>17</v>
      </c>
      <c r="D18" s="3">
        <v>150</v>
      </c>
      <c r="E18" s="3">
        <v>0</v>
      </c>
      <c r="F18" s="3">
        <v>60</v>
      </c>
      <c r="I18" s="3">
        <f>E18*D18/100</f>
        <v>0</v>
      </c>
      <c r="J18" s="3">
        <f t="shared" si="3"/>
        <v>0.5</v>
      </c>
      <c r="K18" s="15">
        <f t="shared" si="0"/>
        <v>9</v>
      </c>
    </row>
    <row r="19" spans="1:12" x14ac:dyDescent="0.2">
      <c r="A19" s="3" t="str">
        <f t="shared" si="2"/>
        <v>Green</v>
      </c>
      <c r="B19" s="3" t="s">
        <v>14</v>
      </c>
      <c r="C19" s="3">
        <v>18</v>
      </c>
      <c r="D19" s="3">
        <v>150</v>
      </c>
      <c r="E19" s="3">
        <v>0</v>
      </c>
      <c r="F19" s="3">
        <v>60</v>
      </c>
      <c r="I19" s="3">
        <f t="shared" si="1"/>
        <v>0</v>
      </c>
      <c r="J19" s="3">
        <f t="shared" si="3"/>
        <v>0.5</v>
      </c>
      <c r="K19" s="15">
        <f t="shared" si="0"/>
        <v>9</v>
      </c>
    </row>
    <row r="20" spans="1:12" ht="17" x14ac:dyDescent="0.2">
      <c r="A20" s="3" t="str">
        <f t="shared" si="2"/>
        <v>Green</v>
      </c>
      <c r="B20" s="3" t="s">
        <v>14</v>
      </c>
      <c r="C20" s="3">
        <v>19</v>
      </c>
      <c r="D20" s="3">
        <v>150</v>
      </c>
      <c r="E20" s="3">
        <v>0</v>
      </c>
      <c r="F20" s="3">
        <v>60</v>
      </c>
      <c r="G20" s="11" t="s">
        <v>62</v>
      </c>
      <c r="I20" s="3">
        <f t="shared" si="1"/>
        <v>0</v>
      </c>
      <c r="J20" s="3">
        <f t="shared" si="3"/>
        <v>0.5</v>
      </c>
      <c r="K20" s="15">
        <f t="shared" si="0"/>
        <v>9</v>
      </c>
    </row>
    <row r="21" spans="1:12" x14ac:dyDescent="0.2">
      <c r="A21" s="3" t="str">
        <f t="shared" si="2"/>
        <v>Green</v>
      </c>
      <c r="B21" s="3" t="s">
        <v>14</v>
      </c>
      <c r="C21" s="5">
        <v>20</v>
      </c>
      <c r="D21" s="3">
        <v>150</v>
      </c>
      <c r="E21" s="3">
        <v>0</v>
      </c>
      <c r="F21" s="3">
        <v>60</v>
      </c>
      <c r="I21" s="3">
        <f t="shared" si="1"/>
        <v>0</v>
      </c>
      <c r="J21" s="3">
        <f t="shared" si="3"/>
        <v>0.5</v>
      </c>
      <c r="K21" s="15">
        <f t="shared" si="0"/>
        <v>9</v>
      </c>
    </row>
    <row r="22" spans="1:12" x14ac:dyDescent="0.2">
      <c r="A22" s="3" t="str">
        <f t="shared" si="2"/>
        <v>Green</v>
      </c>
      <c r="B22" s="3" t="s">
        <v>15</v>
      </c>
      <c r="C22" s="3">
        <v>21</v>
      </c>
      <c r="D22" s="3">
        <v>300</v>
      </c>
      <c r="E22" s="3">
        <v>0</v>
      </c>
      <c r="F22" s="3">
        <v>70</v>
      </c>
      <c r="I22" s="3">
        <f t="shared" si="1"/>
        <v>0</v>
      </c>
      <c r="J22" s="3">
        <f t="shared" si="3"/>
        <v>0.5</v>
      </c>
      <c r="K22" s="15">
        <f t="shared" si="0"/>
        <v>15.428571428571431</v>
      </c>
    </row>
    <row r="23" spans="1:12" ht="17" x14ac:dyDescent="0.2">
      <c r="A23" s="3" t="str">
        <f t="shared" si="2"/>
        <v>Green</v>
      </c>
      <c r="B23" s="3" t="s">
        <v>15</v>
      </c>
      <c r="C23" s="5">
        <v>22</v>
      </c>
      <c r="D23" s="3">
        <v>300</v>
      </c>
      <c r="E23" s="3">
        <v>0</v>
      </c>
      <c r="F23" s="3">
        <v>70</v>
      </c>
      <c r="G23" s="11" t="s">
        <v>52</v>
      </c>
      <c r="H23" s="3" t="s">
        <v>90</v>
      </c>
      <c r="I23" s="3">
        <f t="shared" si="1"/>
        <v>0</v>
      </c>
      <c r="J23" s="3">
        <f t="shared" si="3"/>
        <v>0.5</v>
      </c>
      <c r="K23" s="15">
        <f t="shared" si="0"/>
        <v>15.428571428571431</v>
      </c>
      <c r="L23" s="1" t="b">
        <v>1</v>
      </c>
    </row>
    <row r="24" spans="1:12" x14ac:dyDescent="0.2">
      <c r="A24" s="3" t="str">
        <f t="shared" si="2"/>
        <v>Green</v>
      </c>
      <c r="B24" s="3" t="s">
        <v>15</v>
      </c>
      <c r="C24" s="3">
        <v>23</v>
      </c>
      <c r="D24" s="3">
        <v>300</v>
      </c>
      <c r="E24" s="3">
        <v>0</v>
      </c>
      <c r="F24" s="3">
        <v>70</v>
      </c>
      <c r="I24" s="3">
        <f t="shared" si="1"/>
        <v>0</v>
      </c>
      <c r="J24" s="3">
        <f t="shared" si="3"/>
        <v>0.5</v>
      </c>
      <c r="K24" s="15">
        <f t="shared" si="0"/>
        <v>15.428571428571431</v>
      </c>
    </row>
    <row r="25" spans="1:12" x14ac:dyDescent="0.2">
      <c r="A25" s="3" t="str">
        <f t="shared" si="2"/>
        <v>Green</v>
      </c>
      <c r="B25" s="3" t="s">
        <v>15</v>
      </c>
      <c r="C25" s="3">
        <v>24</v>
      </c>
      <c r="D25" s="3">
        <v>300</v>
      </c>
      <c r="E25" s="3">
        <v>0</v>
      </c>
      <c r="F25" s="3">
        <v>70</v>
      </c>
      <c r="I25" s="3">
        <f t="shared" si="1"/>
        <v>0</v>
      </c>
      <c r="J25" s="3">
        <f t="shared" si="3"/>
        <v>0.5</v>
      </c>
      <c r="K25" s="15">
        <f t="shared" si="0"/>
        <v>15.428571428571431</v>
      </c>
    </row>
    <row r="26" spans="1:12" x14ac:dyDescent="0.2">
      <c r="A26" s="3" t="str">
        <f t="shared" si="2"/>
        <v>Green</v>
      </c>
      <c r="B26" s="3" t="s">
        <v>15</v>
      </c>
      <c r="C26" s="5">
        <v>25</v>
      </c>
      <c r="D26" s="3">
        <v>200</v>
      </c>
      <c r="E26" s="3">
        <v>0</v>
      </c>
      <c r="F26" s="3">
        <v>70</v>
      </c>
      <c r="I26" s="3">
        <f t="shared" si="1"/>
        <v>0</v>
      </c>
      <c r="J26" s="3">
        <f t="shared" si="3"/>
        <v>0.5</v>
      </c>
      <c r="K26" s="15">
        <f t="shared" si="0"/>
        <v>10.285714285714286</v>
      </c>
    </row>
    <row r="27" spans="1:12" x14ac:dyDescent="0.2">
      <c r="A27" s="3" t="str">
        <f t="shared" si="2"/>
        <v>Green</v>
      </c>
      <c r="B27" s="3" t="s">
        <v>15</v>
      </c>
      <c r="C27" s="3">
        <v>26</v>
      </c>
      <c r="D27" s="3">
        <v>100</v>
      </c>
      <c r="E27" s="3">
        <v>0</v>
      </c>
      <c r="F27" s="3">
        <v>70</v>
      </c>
      <c r="I27" s="3">
        <f t="shared" si="1"/>
        <v>0</v>
      </c>
      <c r="J27" s="3">
        <f t="shared" si="3"/>
        <v>0.5</v>
      </c>
      <c r="K27" s="15">
        <f t="shared" si="0"/>
        <v>5.1428571428571432</v>
      </c>
    </row>
    <row r="28" spans="1:12" x14ac:dyDescent="0.2">
      <c r="A28" s="3" t="str">
        <f t="shared" si="2"/>
        <v>Green</v>
      </c>
      <c r="B28" s="3" t="s">
        <v>15</v>
      </c>
      <c r="C28" s="5">
        <v>27</v>
      </c>
      <c r="D28" s="3">
        <v>50</v>
      </c>
      <c r="E28" s="3">
        <v>0</v>
      </c>
      <c r="F28" s="3">
        <v>30</v>
      </c>
      <c r="I28" s="3">
        <f t="shared" si="1"/>
        <v>0</v>
      </c>
      <c r="J28" s="3">
        <f t="shared" si="3"/>
        <v>0.5</v>
      </c>
      <c r="K28" s="15">
        <f t="shared" si="0"/>
        <v>6</v>
      </c>
    </row>
    <row r="29" spans="1:12" x14ac:dyDescent="0.2">
      <c r="A29" s="3" t="str">
        <f t="shared" si="2"/>
        <v>Green</v>
      </c>
      <c r="B29" s="3" t="s">
        <v>15</v>
      </c>
      <c r="C29" s="3">
        <v>28</v>
      </c>
      <c r="D29" s="3">
        <v>50</v>
      </c>
      <c r="E29" s="3">
        <v>0</v>
      </c>
      <c r="F29" s="3">
        <v>30</v>
      </c>
      <c r="I29" s="3">
        <f t="shared" si="1"/>
        <v>0</v>
      </c>
      <c r="J29" s="3">
        <f t="shared" si="3"/>
        <v>0.5</v>
      </c>
      <c r="K29" s="15">
        <f t="shared" si="0"/>
        <v>6</v>
      </c>
    </row>
    <row r="30" spans="1:12" x14ac:dyDescent="0.2">
      <c r="A30" s="3" t="str">
        <f t="shared" si="2"/>
        <v>Green</v>
      </c>
      <c r="B30" s="3" t="s">
        <v>19</v>
      </c>
      <c r="C30" s="3">
        <v>29</v>
      </c>
      <c r="D30" s="3">
        <v>50</v>
      </c>
      <c r="E30" s="3">
        <v>0</v>
      </c>
      <c r="F30" s="3">
        <v>30</v>
      </c>
      <c r="G30" s="3" t="s">
        <v>79</v>
      </c>
      <c r="I30" s="3">
        <f t="shared" si="1"/>
        <v>0</v>
      </c>
      <c r="J30" s="3">
        <f t="shared" si="3"/>
        <v>0.5</v>
      </c>
      <c r="K30" s="15">
        <f t="shared" si="0"/>
        <v>6</v>
      </c>
      <c r="L30" s="1" t="b">
        <v>1</v>
      </c>
    </row>
    <row r="31" spans="1:12" x14ac:dyDescent="0.2">
      <c r="A31" s="3" t="str">
        <f t="shared" si="2"/>
        <v>Green</v>
      </c>
      <c r="B31" s="3" t="s">
        <v>19</v>
      </c>
      <c r="C31" s="5">
        <v>30</v>
      </c>
      <c r="D31" s="3">
        <v>50</v>
      </c>
      <c r="E31" s="3">
        <v>0</v>
      </c>
      <c r="F31" s="3">
        <v>30</v>
      </c>
      <c r="I31" s="3">
        <f t="shared" si="1"/>
        <v>0</v>
      </c>
      <c r="J31" s="3">
        <f t="shared" si="3"/>
        <v>0.5</v>
      </c>
      <c r="K31" s="15">
        <f t="shared" si="0"/>
        <v>6</v>
      </c>
    </row>
    <row r="32" spans="1:12" ht="17" x14ac:dyDescent="0.2">
      <c r="A32" s="3" t="str">
        <f t="shared" si="2"/>
        <v>Green</v>
      </c>
      <c r="B32" s="3" t="s">
        <v>19</v>
      </c>
      <c r="C32" s="3">
        <v>31</v>
      </c>
      <c r="D32" s="3">
        <v>50</v>
      </c>
      <c r="E32" s="3">
        <v>0</v>
      </c>
      <c r="F32" s="3">
        <v>30</v>
      </c>
      <c r="G32" s="11" t="s">
        <v>53</v>
      </c>
      <c r="H32" s="3" t="s">
        <v>89</v>
      </c>
      <c r="I32" s="3">
        <f t="shared" si="1"/>
        <v>0</v>
      </c>
      <c r="J32" s="3">
        <f t="shared" si="3"/>
        <v>0.5</v>
      </c>
      <c r="K32" s="15">
        <f t="shared" si="0"/>
        <v>6</v>
      </c>
      <c r="L32" s="1" t="b">
        <v>1</v>
      </c>
    </row>
    <row r="33" spans="1:13" x14ac:dyDescent="0.2">
      <c r="A33" s="3" t="str">
        <f t="shared" si="2"/>
        <v>Green</v>
      </c>
      <c r="B33" s="3" t="s">
        <v>19</v>
      </c>
      <c r="C33" s="5">
        <v>32</v>
      </c>
      <c r="D33" s="3">
        <v>50</v>
      </c>
      <c r="E33" s="3">
        <v>0</v>
      </c>
      <c r="F33" s="3">
        <v>30</v>
      </c>
      <c r="I33" s="3">
        <f t="shared" si="1"/>
        <v>0</v>
      </c>
      <c r="J33" s="3">
        <f t="shared" si="3"/>
        <v>0.5</v>
      </c>
      <c r="K33" s="15">
        <f t="shared" si="0"/>
        <v>6</v>
      </c>
    </row>
    <row r="34" spans="1:13" x14ac:dyDescent="0.2">
      <c r="A34" s="3" t="str">
        <f t="shared" si="2"/>
        <v>Green</v>
      </c>
      <c r="B34" s="3" t="s">
        <v>20</v>
      </c>
      <c r="C34" s="3">
        <v>33</v>
      </c>
      <c r="D34" s="3">
        <v>50</v>
      </c>
      <c r="E34" s="3">
        <v>0</v>
      </c>
      <c r="F34" s="3">
        <v>30</v>
      </c>
      <c r="I34" s="3">
        <f t="shared" si="1"/>
        <v>0</v>
      </c>
      <c r="J34" s="3">
        <f t="shared" si="3"/>
        <v>0.5</v>
      </c>
      <c r="K34" s="15">
        <f t="shared" si="0"/>
        <v>6</v>
      </c>
    </row>
    <row r="35" spans="1:13" x14ac:dyDescent="0.2">
      <c r="A35" s="3" t="str">
        <f t="shared" si="2"/>
        <v>Green</v>
      </c>
      <c r="B35" s="3" t="s">
        <v>20</v>
      </c>
      <c r="C35" s="3">
        <v>34</v>
      </c>
      <c r="D35" s="3">
        <v>50</v>
      </c>
      <c r="E35" s="3">
        <v>0</v>
      </c>
      <c r="F35" s="3">
        <v>30</v>
      </c>
      <c r="I35" s="3">
        <f t="shared" si="1"/>
        <v>0</v>
      </c>
      <c r="J35" s="3">
        <f t="shared" si="3"/>
        <v>0.5</v>
      </c>
      <c r="K35" s="15">
        <f t="shared" si="0"/>
        <v>6</v>
      </c>
    </row>
    <row r="36" spans="1:13" x14ac:dyDescent="0.2">
      <c r="A36" s="3" t="str">
        <f t="shared" si="2"/>
        <v>Green</v>
      </c>
      <c r="B36" s="3" t="s">
        <v>20</v>
      </c>
      <c r="C36" s="5">
        <v>35</v>
      </c>
      <c r="D36" s="3">
        <v>50</v>
      </c>
      <c r="E36" s="3">
        <v>0</v>
      </c>
      <c r="F36" s="3">
        <v>30</v>
      </c>
      <c r="I36" s="3">
        <f t="shared" si="1"/>
        <v>0</v>
      </c>
      <c r="J36" s="3">
        <f t="shared" si="3"/>
        <v>0.5</v>
      </c>
      <c r="K36" s="15">
        <f t="shared" si="0"/>
        <v>6</v>
      </c>
    </row>
    <row r="37" spans="1:13" x14ac:dyDescent="0.2">
      <c r="A37" s="3" t="str">
        <f t="shared" si="2"/>
        <v>Green</v>
      </c>
      <c r="B37" s="3" t="s">
        <v>21</v>
      </c>
      <c r="C37" s="3">
        <v>36</v>
      </c>
      <c r="D37" s="3">
        <v>50</v>
      </c>
      <c r="E37" s="3">
        <v>0</v>
      </c>
      <c r="F37" s="3">
        <v>30</v>
      </c>
      <c r="G37" s="3" t="s">
        <v>34</v>
      </c>
      <c r="I37" s="3">
        <f t="shared" si="1"/>
        <v>0</v>
      </c>
      <c r="J37" s="3">
        <f t="shared" si="3"/>
        <v>0.5</v>
      </c>
      <c r="K37" s="15">
        <f t="shared" si="0"/>
        <v>6</v>
      </c>
    </row>
    <row r="38" spans="1:13" x14ac:dyDescent="0.2">
      <c r="A38" s="3" t="str">
        <f>A34</f>
        <v>Green</v>
      </c>
      <c r="B38" s="3" t="s">
        <v>21</v>
      </c>
      <c r="C38" s="3">
        <v>37</v>
      </c>
      <c r="D38" s="3">
        <v>50</v>
      </c>
      <c r="E38" s="3">
        <v>0</v>
      </c>
      <c r="F38" s="3">
        <v>30</v>
      </c>
      <c r="G38" s="3" t="s">
        <v>34</v>
      </c>
      <c r="I38" s="3">
        <f t="shared" si="1"/>
        <v>0</v>
      </c>
      <c r="J38" s="3">
        <f t="shared" si="3"/>
        <v>0.5</v>
      </c>
      <c r="K38" s="15">
        <f t="shared" si="0"/>
        <v>6</v>
      </c>
      <c r="M38" s="23"/>
    </row>
    <row r="39" spans="1:13" x14ac:dyDescent="0.2">
      <c r="A39" s="3" t="str">
        <f t="shared" si="2"/>
        <v>Green</v>
      </c>
      <c r="B39" s="3" t="s">
        <v>21</v>
      </c>
      <c r="C39" s="5">
        <v>38</v>
      </c>
      <c r="D39" s="3">
        <v>50</v>
      </c>
      <c r="E39" s="3">
        <v>0</v>
      </c>
      <c r="F39" s="3">
        <v>30</v>
      </c>
      <c r="G39" s="3" t="s">
        <v>34</v>
      </c>
      <c r="I39" s="3">
        <f t="shared" si="1"/>
        <v>0</v>
      </c>
      <c r="J39" s="3">
        <f t="shared" si="3"/>
        <v>0.5</v>
      </c>
      <c r="K39" s="15">
        <f t="shared" si="0"/>
        <v>6</v>
      </c>
    </row>
    <row r="40" spans="1:13" ht="34" x14ac:dyDescent="0.2">
      <c r="A40" s="3" t="str">
        <f t="shared" si="2"/>
        <v>Green</v>
      </c>
      <c r="B40" s="3" t="s">
        <v>21</v>
      </c>
      <c r="C40" s="3">
        <v>39</v>
      </c>
      <c r="D40" s="3">
        <v>50</v>
      </c>
      <c r="E40" s="3">
        <v>0</v>
      </c>
      <c r="F40" s="3">
        <v>30</v>
      </c>
      <c r="G40" s="11" t="s">
        <v>58</v>
      </c>
      <c r="H40" s="3" t="s">
        <v>91</v>
      </c>
      <c r="I40" s="3">
        <f t="shared" si="1"/>
        <v>0</v>
      </c>
      <c r="J40" s="3">
        <f t="shared" si="3"/>
        <v>0.5</v>
      </c>
      <c r="K40" s="15">
        <f t="shared" si="0"/>
        <v>6</v>
      </c>
      <c r="L40" s="1" t="b">
        <v>1</v>
      </c>
    </row>
    <row r="41" spans="1:13" x14ac:dyDescent="0.2">
      <c r="A41" s="3" t="str">
        <f t="shared" si="2"/>
        <v>Green</v>
      </c>
      <c r="B41" s="3" t="s">
        <v>21</v>
      </c>
      <c r="C41" s="3">
        <v>40</v>
      </c>
      <c r="D41" s="3">
        <v>50</v>
      </c>
      <c r="E41" s="3">
        <v>0</v>
      </c>
      <c r="F41" s="3">
        <v>30</v>
      </c>
      <c r="G41" s="3" t="s">
        <v>34</v>
      </c>
      <c r="I41" s="3">
        <f t="shared" si="1"/>
        <v>0</v>
      </c>
      <c r="J41" s="3">
        <f t="shared" si="3"/>
        <v>0.5</v>
      </c>
      <c r="K41" s="15">
        <f t="shared" si="0"/>
        <v>6</v>
      </c>
    </row>
    <row r="42" spans="1:13" x14ac:dyDescent="0.2">
      <c r="A42" s="3" t="str">
        <f t="shared" si="2"/>
        <v>Green</v>
      </c>
      <c r="B42" s="3" t="s">
        <v>21</v>
      </c>
      <c r="C42" s="5">
        <v>41</v>
      </c>
      <c r="D42" s="3">
        <v>50</v>
      </c>
      <c r="E42" s="3">
        <v>0</v>
      </c>
      <c r="F42" s="3">
        <v>30</v>
      </c>
      <c r="G42" s="3" t="s">
        <v>34</v>
      </c>
      <c r="I42" s="3">
        <f t="shared" si="1"/>
        <v>0</v>
      </c>
      <c r="J42" s="3">
        <f t="shared" si="3"/>
        <v>0.5</v>
      </c>
      <c r="K42" s="15">
        <f t="shared" si="0"/>
        <v>6</v>
      </c>
    </row>
    <row r="43" spans="1:13" x14ac:dyDescent="0.2">
      <c r="A43" s="3" t="str">
        <f t="shared" si="2"/>
        <v>Green</v>
      </c>
      <c r="B43" s="3" t="s">
        <v>21</v>
      </c>
      <c r="C43" s="3">
        <v>42</v>
      </c>
      <c r="D43" s="3">
        <v>50</v>
      </c>
      <c r="E43" s="3">
        <v>0</v>
      </c>
      <c r="F43" s="3">
        <v>30</v>
      </c>
      <c r="G43" s="3" t="s">
        <v>34</v>
      </c>
      <c r="I43" s="3">
        <f t="shared" si="1"/>
        <v>0</v>
      </c>
      <c r="J43" s="3">
        <f t="shared" si="3"/>
        <v>0.5</v>
      </c>
      <c r="K43" s="15">
        <f t="shared" si="0"/>
        <v>6</v>
      </c>
    </row>
    <row r="44" spans="1:13" x14ac:dyDescent="0.2">
      <c r="A44" s="3" t="str">
        <f t="shared" si="2"/>
        <v>Green</v>
      </c>
      <c r="B44" s="3" t="s">
        <v>21</v>
      </c>
      <c r="C44" s="3">
        <v>43</v>
      </c>
      <c r="D44" s="3">
        <v>50</v>
      </c>
      <c r="E44" s="3">
        <v>0</v>
      </c>
      <c r="F44" s="3">
        <v>30</v>
      </c>
      <c r="G44" s="3" t="s">
        <v>34</v>
      </c>
      <c r="I44" s="3">
        <f t="shared" si="1"/>
        <v>0</v>
      </c>
      <c r="J44" s="3">
        <f t="shared" si="3"/>
        <v>0.5</v>
      </c>
      <c r="K44" s="15">
        <f t="shared" si="0"/>
        <v>6</v>
      </c>
    </row>
    <row r="45" spans="1:13" x14ac:dyDescent="0.2">
      <c r="A45" s="3" t="str">
        <f t="shared" si="2"/>
        <v>Green</v>
      </c>
      <c r="B45" s="3" t="s">
        <v>21</v>
      </c>
      <c r="C45" s="5">
        <v>44</v>
      </c>
      <c r="D45" s="3">
        <v>50</v>
      </c>
      <c r="E45" s="3">
        <v>0</v>
      </c>
      <c r="F45" s="3">
        <v>30</v>
      </c>
      <c r="G45" s="3" t="s">
        <v>34</v>
      </c>
      <c r="I45" s="3">
        <f t="shared" si="1"/>
        <v>0</v>
      </c>
      <c r="J45" s="3">
        <f t="shared" si="3"/>
        <v>0.5</v>
      </c>
      <c r="K45" s="15">
        <f t="shared" si="0"/>
        <v>6</v>
      </c>
    </row>
    <row r="46" spans="1:13" x14ac:dyDescent="0.2">
      <c r="A46" s="3" t="str">
        <f t="shared" si="2"/>
        <v>Green</v>
      </c>
      <c r="B46" s="3" t="s">
        <v>21</v>
      </c>
      <c r="C46" s="3">
        <v>45</v>
      </c>
      <c r="D46" s="3">
        <v>50</v>
      </c>
      <c r="E46" s="3">
        <v>0</v>
      </c>
      <c r="F46" s="3">
        <v>30</v>
      </c>
      <c r="G46" s="3" t="s">
        <v>34</v>
      </c>
      <c r="I46" s="3">
        <f t="shared" si="1"/>
        <v>0</v>
      </c>
      <c r="J46" s="3">
        <f t="shared" si="3"/>
        <v>0.5</v>
      </c>
      <c r="K46" s="15">
        <f t="shared" si="0"/>
        <v>6</v>
      </c>
    </row>
    <row r="47" spans="1:13" x14ac:dyDescent="0.2">
      <c r="A47" s="3" t="str">
        <f t="shared" si="2"/>
        <v>Green</v>
      </c>
      <c r="B47" s="3" t="s">
        <v>21</v>
      </c>
      <c r="C47" s="3">
        <v>46</v>
      </c>
      <c r="D47" s="3">
        <v>50</v>
      </c>
      <c r="E47" s="3">
        <v>0</v>
      </c>
      <c r="F47" s="3">
        <v>30</v>
      </c>
      <c r="G47" s="3" t="s">
        <v>34</v>
      </c>
      <c r="I47" s="3">
        <f t="shared" si="1"/>
        <v>0</v>
      </c>
      <c r="J47" s="3">
        <f t="shared" si="3"/>
        <v>0.5</v>
      </c>
      <c r="K47" s="15">
        <f t="shared" si="0"/>
        <v>6</v>
      </c>
    </row>
    <row r="48" spans="1:13" x14ac:dyDescent="0.2">
      <c r="A48" s="3" t="str">
        <f t="shared" si="2"/>
        <v>Green</v>
      </c>
      <c r="B48" s="3" t="s">
        <v>21</v>
      </c>
      <c r="C48" s="5">
        <v>47</v>
      </c>
      <c r="D48" s="3">
        <v>50</v>
      </c>
      <c r="E48" s="3">
        <v>0</v>
      </c>
      <c r="F48" s="3">
        <v>30</v>
      </c>
      <c r="G48" s="3" t="s">
        <v>34</v>
      </c>
      <c r="I48" s="3">
        <f t="shared" si="1"/>
        <v>0</v>
      </c>
      <c r="J48" s="3">
        <f t="shared" si="3"/>
        <v>0.5</v>
      </c>
      <c r="K48" s="15">
        <f t="shared" si="0"/>
        <v>6</v>
      </c>
    </row>
    <row r="49" spans="1:12" ht="34" x14ac:dyDescent="0.2">
      <c r="A49" s="3" t="str">
        <f t="shared" si="2"/>
        <v>Green</v>
      </c>
      <c r="B49" s="3" t="s">
        <v>21</v>
      </c>
      <c r="C49" s="3">
        <v>48</v>
      </c>
      <c r="D49" s="3">
        <v>50</v>
      </c>
      <c r="E49" s="3">
        <v>0</v>
      </c>
      <c r="F49" s="3">
        <v>30</v>
      </c>
      <c r="G49" s="11" t="s">
        <v>59</v>
      </c>
      <c r="H49" s="3" t="s">
        <v>91</v>
      </c>
      <c r="I49" s="3">
        <f t="shared" si="1"/>
        <v>0</v>
      </c>
      <c r="J49" s="3">
        <f t="shared" si="3"/>
        <v>0.5</v>
      </c>
      <c r="K49" s="15">
        <f t="shared" si="0"/>
        <v>6</v>
      </c>
      <c r="L49" s="1" t="b">
        <v>1</v>
      </c>
    </row>
    <row r="50" spans="1:12" x14ac:dyDescent="0.2">
      <c r="A50" s="3" t="str">
        <f t="shared" si="2"/>
        <v>Green</v>
      </c>
      <c r="B50" s="3" t="s">
        <v>21</v>
      </c>
      <c r="C50" s="3">
        <v>49</v>
      </c>
      <c r="D50" s="3">
        <v>50</v>
      </c>
      <c r="E50" s="3">
        <v>0</v>
      </c>
      <c r="F50" s="3">
        <v>30</v>
      </c>
      <c r="G50" s="3" t="s">
        <v>34</v>
      </c>
      <c r="I50" s="3">
        <f t="shared" si="1"/>
        <v>0</v>
      </c>
      <c r="J50" s="3">
        <f t="shared" si="3"/>
        <v>0.5</v>
      </c>
      <c r="K50" s="15">
        <f t="shared" si="0"/>
        <v>6</v>
      </c>
    </row>
    <row r="51" spans="1:12" x14ac:dyDescent="0.2">
      <c r="A51" s="3" t="str">
        <f t="shared" si="2"/>
        <v>Green</v>
      </c>
      <c r="B51" s="3" t="s">
        <v>21</v>
      </c>
      <c r="C51" s="5">
        <v>50</v>
      </c>
      <c r="D51" s="3">
        <v>50</v>
      </c>
      <c r="E51" s="3">
        <v>0</v>
      </c>
      <c r="F51" s="3">
        <v>30</v>
      </c>
      <c r="G51" s="3" t="s">
        <v>34</v>
      </c>
      <c r="I51" s="3">
        <f t="shared" si="1"/>
        <v>0</v>
      </c>
      <c r="J51" s="3">
        <f t="shared" si="3"/>
        <v>0.5</v>
      </c>
      <c r="K51" s="15">
        <f t="shared" si="0"/>
        <v>6</v>
      </c>
    </row>
    <row r="52" spans="1:12" x14ac:dyDescent="0.2">
      <c r="A52" s="3" t="str">
        <f t="shared" si="2"/>
        <v>Green</v>
      </c>
      <c r="B52" s="3" t="s">
        <v>21</v>
      </c>
      <c r="C52" s="3">
        <v>51</v>
      </c>
      <c r="D52" s="3">
        <v>50</v>
      </c>
      <c r="E52" s="3">
        <v>0</v>
      </c>
      <c r="F52" s="3">
        <v>30</v>
      </c>
      <c r="G52" s="3" t="s">
        <v>34</v>
      </c>
      <c r="I52" s="3">
        <f t="shared" si="1"/>
        <v>0</v>
      </c>
      <c r="J52" s="3">
        <f t="shared" si="3"/>
        <v>0.5</v>
      </c>
      <c r="K52" s="15">
        <f t="shared" si="0"/>
        <v>6</v>
      </c>
    </row>
    <row r="53" spans="1:12" x14ac:dyDescent="0.2">
      <c r="A53" s="3" t="str">
        <f t="shared" si="2"/>
        <v>Green</v>
      </c>
      <c r="B53" s="3" t="s">
        <v>21</v>
      </c>
      <c r="C53" s="3">
        <v>52</v>
      </c>
      <c r="D53" s="3">
        <v>50</v>
      </c>
      <c r="E53" s="3">
        <v>0</v>
      </c>
      <c r="F53" s="3">
        <v>30</v>
      </c>
      <c r="G53" s="3" t="s">
        <v>34</v>
      </c>
      <c r="I53" s="3">
        <f t="shared" si="1"/>
        <v>0</v>
      </c>
      <c r="J53" s="3">
        <f t="shared" si="3"/>
        <v>0.5</v>
      </c>
      <c r="K53" s="15">
        <f t="shared" si="0"/>
        <v>6</v>
      </c>
    </row>
    <row r="54" spans="1:12" x14ac:dyDescent="0.2">
      <c r="A54" s="3" t="str">
        <f t="shared" si="2"/>
        <v>Green</v>
      </c>
      <c r="B54" s="3" t="s">
        <v>21</v>
      </c>
      <c r="C54" s="5">
        <v>53</v>
      </c>
      <c r="D54" s="3">
        <v>50</v>
      </c>
      <c r="E54" s="3">
        <v>0</v>
      </c>
      <c r="F54" s="3">
        <v>30</v>
      </c>
      <c r="G54" s="3" t="s">
        <v>34</v>
      </c>
      <c r="I54" s="3">
        <f t="shared" si="1"/>
        <v>0</v>
      </c>
      <c r="J54" s="3">
        <f t="shared" si="3"/>
        <v>0.5</v>
      </c>
      <c r="K54" s="15">
        <f t="shared" si="0"/>
        <v>6</v>
      </c>
    </row>
    <row r="55" spans="1:12" x14ac:dyDescent="0.2">
      <c r="A55" s="3" t="str">
        <f t="shared" si="2"/>
        <v>Green</v>
      </c>
      <c r="B55" s="3" t="s">
        <v>21</v>
      </c>
      <c r="C55" s="3">
        <v>54</v>
      </c>
      <c r="D55" s="3">
        <v>50</v>
      </c>
      <c r="E55" s="3">
        <v>0</v>
      </c>
      <c r="F55" s="3">
        <v>30</v>
      </c>
      <c r="G55" s="3" t="s">
        <v>34</v>
      </c>
      <c r="I55" s="3">
        <f t="shared" si="1"/>
        <v>0</v>
      </c>
      <c r="J55" s="3">
        <f t="shared" si="3"/>
        <v>0.5</v>
      </c>
      <c r="K55" s="15">
        <f t="shared" si="0"/>
        <v>6</v>
      </c>
    </row>
    <row r="56" spans="1:12" x14ac:dyDescent="0.2">
      <c r="A56" s="3" t="str">
        <f t="shared" si="2"/>
        <v>Green</v>
      </c>
      <c r="B56" s="3" t="s">
        <v>21</v>
      </c>
      <c r="C56" s="3">
        <v>55</v>
      </c>
      <c r="D56" s="3">
        <v>50</v>
      </c>
      <c r="E56" s="3">
        <v>0</v>
      </c>
      <c r="F56" s="3">
        <v>30</v>
      </c>
      <c r="G56" s="3" t="s">
        <v>34</v>
      </c>
      <c r="I56" s="3">
        <f t="shared" si="1"/>
        <v>0</v>
      </c>
      <c r="J56" s="3">
        <f t="shared" si="3"/>
        <v>0.5</v>
      </c>
      <c r="K56" s="15">
        <f t="shared" si="0"/>
        <v>6</v>
      </c>
    </row>
    <row r="57" spans="1:12" x14ac:dyDescent="0.2">
      <c r="A57" s="3" t="str">
        <f t="shared" si="2"/>
        <v>Green</v>
      </c>
      <c r="B57" s="3" t="s">
        <v>21</v>
      </c>
      <c r="C57" s="5">
        <v>56</v>
      </c>
      <c r="D57" s="3">
        <v>50</v>
      </c>
      <c r="E57" s="3">
        <v>0</v>
      </c>
      <c r="F57" s="3">
        <v>30</v>
      </c>
      <c r="G57" s="3" t="s">
        <v>34</v>
      </c>
      <c r="I57" s="3">
        <f t="shared" si="1"/>
        <v>0</v>
      </c>
      <c r="J57" s="3">
        <f t="shared" si="3"/>
        <v>0.5</v>
      </c>
      <c r="K57" s="15">
        <f t="shared" si="0"/>
        <v>6</v>
      </c>
    </row>
    <row r="58" spans="1:12" ht="34" x14ac:dyDescent="0.2">
      <c r="A58" s="3" t="str">
        <f t="shared" si="2"/>
        <v>Green</v>
      </c>
      <c r="B58" s="3" t="s">
        <v>21</v>
      </c>
      <c r="C58" s="3">
        <v>57</v>
      </c>
      <c r="D58" s="3">
        <v>50</v>
      </c>
      <c r="E58" s="3">
        <v>0</v>
      </c>
      <c r="F58" s="3">
        <v>30</v>
      </c>
      <c r="G58" s="11" t="s">
        <v>60</v>
      </c>
      <c r="H58" s="3" t="s">
        <v>91</v>
      </c>
      <c r="I58" s="3">
        <f t="shared" si="1"/>
        <v>0</v>
      </c>
      <c r="J58" s="3">
        <f t="shared" si="3"/>
        <v>0.5</v>
      </c>
      <c r="K58" s="15">
        <f t="shared" si="0"/>
        <v>6</v>
      </c>
      <c r="L58" s="1" t="b">
        <v>1</v>
      </c>
    </row>
    <row r="59" spans="1:12" ht="17" x14ac:dyDescent="0.2">
      <c r="A59" s="3" t="str">
        <f t="shared" si="2"/>
        <v>Green</v>
      </c>
      <c r="B59" s="3" t="s">
        <v>23</v>
      </c>
      <c r="C59" s="3">
        <v>58</v>
      </c>
      <c r="D59" s="3">
        <v>50</v>
      </c>
      <c r="E59" s="3">
        <v>0</v>
      </c>
      <c r="F59" s="3">
        <v>30</v>
      </c>
      <c r="G59" s="11" t="s">
        <v>65</v>
      </c>
      <c r="I59" s="3">
        <f t="shared" si="1"/>
        <v>0</v>
      </c>
      <c r="J59" s="3">
        <f t="shared" si="3"/>
        <v>0.5</v>
      </c>
      <c r="K59" s="15">
        <f t="shared" si="0"/>
        <v>6</v>
      </c>
      <c r="L59" s="1" t="b">
        <v>1</v>
      </c>
    </row>
    <row r="60" spans="1:12" x14ac:dyDescent="0.2">
      <c r="A60" s="3" t="str">
        <f t="shared" si="2"/>
        <v>Green</v>
      </c>
      <c r="B60" s="3" t="s">
        <v>23</v>
      </c>
      <c r="C60" s="5">
        <v>59</v>
      </c>
      <c r="D60" s="3">
        <v>50</v>
      </c>
      <c r="E60" s="3">
        <v>0</v>
      </c>
      <c r="F60" s="3">
        <v>30</v>
      </c>
      <c r="I60" s="3">
        <f t="shared" si="1"/>
        <v>0</v>
      </c>
      <c r="J60" s="3">
        <f t="shared" si="3"/>
        <v>0.5</v>
      </c>
      <c r="K60" s="15">
        <f t="shared" si="0"/>
        <v>6</v>
      </c>
    </row>
    <row r="61" spans="1:12" x14ac:dyDescent="0.2">
      <c r="A61" s="3" t="str">
        <f t="shared" si="2"/>
        <v>Green</v>
      </c>
      <c r="B61" s="3" t="s">
        <v>23</v>
      </c>
      <c r="C61" s="3">
        <v>60</v>
      </c>
      <c r="D61" s="3">
        <v>50</v>
      </c>
      <c r="E61" s="3">
        <v>0</v>
      </c>
      <c r="F61" s="3">
        <v>30</v>
      </c>
      <c r="I61" s="3">
        <f t="shared" si="1"/>
        <v>0</v>
      </c>
      <c r="J61" s="3">
        <f t="shared" si="3"/>
        <v>0.5</v>
      </c>
      <c r="K61" s="15">
        <f t="shared" si="0"/>
        <v>6</v>
      </c>
    </row>
    <row r="62" spans="1:12" x14ac:dyDescent="0.2">
      <c r="A62" s="3" t="str">
        <f t="shared" si="2"/>
        <v>Green</v>
      </c>
      <c r="B62" s="3" t="s">
        <v>23</v>
      </c>
      <c r="C62" s="3">
        <v>61</v>
      </c>
      <c r="D62" s="3">
        <v>50</v>
      </c>
      <c r="E62" s="3">
        <v>0</v>
      </c>
      <c r="F62" s="3">
        <v>30</v>
      </c>
      <c r="I62" s="3">
        <f t="shared" si="1"/>
        <v>0</v>
      </c>
      <c r="J62" s="3">
        <f t="shared" si="3"/>
        <v>0.5</v>
      </c>
      <c r="K62" s="15">
        <f t="shared" si="0"/>
        <v>6</v>
      </c>
    </row>
    <row r="63" spans="1:12" ht="17" x14ac:dyDescent="0.2">
      <c r="A63" s="3" t="str">
        <f t="shared" si="2"/>
        <v>Green</v>
      </c>
      <c r="B63" s="3" t="s">
        <v>23</v>
      </c>
      <c r="C63" s="5">
        <v>62</v>
      </c>
      <c r="D63" s="3">
        <v>50</v>
      </c>
      <c r="E63" s="3">
        <v>0</v>
      </c>
      <c r="F63" s="3">
        <v>30</v>
      </c>
      <c r="G63" s="11" t="s">
        <v>66</v>
      </c>
      <c r="I63" s="3">
        <f t="shared" si="1"/>
        <v>0</v>
      </c>
      <c r="J63" s="3">
        <f t="shared" si="3"/>
        <v>0.5</v>
      </c>
      <c r="K63" s="15">
        <f t="shared" si="0"/>
        <v>6</v>
      </c>
      <c r="L63" s="1" t="b">
        <v>1</v>
      </c>
    </row>
    <row r="64" spans="1:12" x14ac:dyDescent="0.2">
      <c r="A64" s="3" t="str">
        <f t="shared" si="2"/>
        <v>Green</v>
      </c>
      <c r="B64" s="3" t="s">
        <v>24</v>
      </c>
      <c r="C64" s="3">
        <v>63</v>
      </c>
      <c r="D64" s="3">
        <v>100</v>
      </c>
      <c r="E64" s="3">
        <v>0</v>
      </c>
      <c r="F64" s="3">
        <v>70</v>
      </c>
      <c r="I64" s="3">
        <f t="shared" si="1"/>
        <v>0</v>
      </c>
      <c r="J64" s="3">
        <f t="shared" si="3"/>
        <v>0.5</v>
      </c>
      <c r="K64" s="15">
        <f t="shared" si="0"/>
        <v>5.1428571428571432</v>
      </c>
    </row>
    <row r="65" spans="1:13" x14ac:dyDescent="0.2">
      <c r="A65" s="3" t="str">
        <f t="shared" si="2"/>
        <v>Green</v>
      </c>
      <c r="B65" s="3" t="s">
        <v>24</v>
      </c>
      <c r="C65" s="3">
        <v>64</v>
      </c>
      <c r="D65" s="3">
        <v>100</v>
      </c>
      <c r="E65" s="3">
        <v>0</v>
      </c>
      <c r="F65" s="3">
        <v>70</v>
      </c>
      <c r="I65" s="3">
        <f t="shared" si="1"/>
        <v>0</v>
      </c>
      <c r="J65" s="3">
        <f t="shared" si="3"/>
        <v>0.5</v>
      </c>
      <c r="K65" s="15">
        <f t="shared" si="0"/>
        <v>5.1428571428571432</v>
      </c>
    </row>
    <row r="66" spans="1:13" ht="17" x14ac:dyDescent="0.2">
      <c r="A66" s="3" t="str">
        <f t="shared" si="2"/>
        <v>Green</v>
      </c>
      <c r="B66" s="3" t="s">
        <v>24</v>
      </c>
      <c r="C66" s="5">
        <v>65</v>
      </c>
      <c r="D66" s="3">
        <v>200</v>
      </c>
      <c r="E66" s="3">
        <v>0</v>
      </c>
      <c r="F66" s="3">
        <v>70</v>
      </c>
      <c r="G66" s="11" t="s">
        <v>54</v>
      </c>
      <c r="H66" s="3" t="s">
        <v>91</v>
      </c>
      <c r="I66" s="3">
        <f t="shared" si="1"/>
        <v>0</v>
      </c>
      <c r="J66" s="3">
        <f t="shared" si="3"/>
        <v>0.5</v>
      </c>
      <c r="K66" s="15">
        <f t="shared" ref="K66:K129" si="4">D66*(1/(F66*1000/(60*60)))</f>
        <v>10.285714285714286</v>
      </c>
      <c r="L66" s="1" t="b">
        <v>1</v>
      </c>
    </row>
    <row r="67" spans="1:13" x14ac:dyDescent="0.2">
      <c r="A67" s="3" t="str">
        <f t="shared" si="2"/>
        <v>Green</v>
      </c>
      <c r="B67" s="3" t="s">
        <v>24</v>
      </c>
      <c r="C67" s="3">
        <v>66</v>
      </c>
      <c r="D67" s="3">
        <v>200</v>
      </c>
      <c r="E67" s="3">
        <v>0</v>
      </c>
      <c r="F67" s="3">
        <v>70</v>
      </c>
      <c r="I67" s="3">
        <f t="shared" ref="I67:I77" si="5">E67*D67/100</f>
        <v>0</v>
      </c>
      <c r="J67" s="3">
        <f t="shared" si="3"/>
        <v>0.5</v>
      </c>
      <c r="K67" s="15">
        <f t="shared" si="4"/>
        <v>10.285714285714286</v>
      </c>
    </row>
    <row r="68" spans="1:13" x14ac:dyDescent="0.2">
      <c r="A68" s="3" t="str">
        <f t="shared" si="2"/>
        <v>Green</v>
      </c>
      <c r="B68" s="3" t="s">
        <v>24</v>
      </c>
      <c r="C68" s="3">
        <v>67</v>
      </c>
      <c r="D68" s="3">
        <v>100</v>
      </c>
      <c r="E68" s="3">
        <v>0</v>
      </c>
      <c r="F68" s="3">
        <v>40</v>
      </c>
      <c r="I68" s="3">
        <f t="shared" si="5"/>
        <v>0</v>
      </c>
      <c r="J68" s="3">
        <f t="shared" ref="J68:J77" si="6">I68+J67</f>
        <v>0.5</v>
      </c>
      <c r="K68" s="15">
        <f t="shared" si="4"/>
        <v>9</v>
      </c>
    </row>
    <row r="69" spans="1:13" x14ac:dyDescent="0.2">
      <c r="A69" s="3" t="str">
        <f t="shared" si="2"/>
        <v>Green</v>
      </c>
      <c r="B69" s="3" t="s">
        <v>24</v>
      </c>
      <c r="C69" s="5">
        <v>68</v>
      </c>
      <c r="D69" s="3">
        <v>100</v>
      </c>
      <c r="E69" s="3">
        <v>0</v>
      </c>
      <c r="F69" s="3">
        <v>40</v>
      </c>
      <c r="I69" s="3">
        <f t="shared" si="5"/>
        <v>0</v>
      </c>
      <c r="J69" s="3">
        <f t="shared" si="6"/>
        <v>0.5</v>
      </c>
      <c r="K69" s="15">
        <f t="shared" si="4"/>
        <v>9</v>
      </c>
    </row>
    <row r="70" spans="1:13" x14ac:dyDescent="0.2">
      <c r="A70" s="3" t="str">
        <f t="shared" si="2"/>
        <v>Green</v>
      </c>
      <c r="B70" s="3" t="s">
        <v>25</v>
      </c>
      <c r="C70" s="3">
        <v>69</v>
      </c>
      <c r="D70" s="3">
        <v>100</v>
      </c>
      <c r="E70" s="3">
        <v>0</v>
      </c>
      <c r="F70" s="3">
        <v>40</v>
      </c>
      <c r="I70" s="3">
        <f t="shared" si="5"/>
        <v>0</v>
      </c>
      <c r="J70" s="3">
        <f t="shared" si="6"/>
        <v>0.5</v>
      </c>
      <c r="K70" s="15">
        <f t="shared" si="4"/>
        <v>9</v>
      </c>
    </row>
    <row r="71" spans="1:13" x14ac:dyDescent="0.2">
      <c r="A71" s="3" t="str">
        <f t="shared" ref="A71:A134" si="7">A70</f>
        <v>Green</v>
      </c>
      <c r="B71" s="3" t="s">
        <v>25</v>
      </c>
      <c r="C71" s="3">
        <v>70</v>
      </c>
      <c r="D71" s="3">
        <v>100</v>
      </c>
      <c r="E71" s="3">
        <v>0</v>
      </c>
      <c r="F71" s="3">
        <v>40</v>
      </c>
      <c r="I71" s="3">
        <f t="shared" si="5"/>
        <v>0</v>
      </c>
      <c r="J71" s="3">
        <f t="shared" si="6"/>
        <v>0.5</v>
      </c>
      <c r="K71" s="15">
        <f t="shared" si="4"/>
        <v>9</v>
      </c>
    </row>
    <row r="72" spans="1:13" x14ac:dyDescent="0.2">
      <c r="A72" s="3" t="str">
        <f t="shared" si="7"/>
        <v>Green</v>
      </c>
      <c r="B72" s="3" t="s">
        <v>25</v>
      </c>
      <c r="C72" s="5">
        <v>71</v>
      </c>
      <c r="D72" s="3">
        <v>100</v>
      </c>
      <c r="E72" s="3">
        <v>0</v>
      </c>
      <c r="F72" s="3">
        <v>40</v>
      </c>
      <c r="I72" s="3">
        <f t="shared" si="5"/>
        <v>0</v>
      </c>
      <c r="J72" s="3">
        <f t="shared" si="6"/>
        <v>0.5</v>
      </c>
      <c r="K72" s="15">
        <f t="shared" si="4"/>
        <v>9</v>
      </c>
    </row>
    <row r="73" spans="1:13" x14ac:dyDescent="0.2">
      <c r="A73" s="3" t="str">
        <f t="shared" si="7"/>
        <v>Green</v>
      </c>
      <c r="B73" s="3" t="s">
        <v>25</v>
      </c>
      <c r="C73" s="3">
        <v>72</v>
      </c>
      <c r="D73" s="3">
        <v>100</v>
      </c>
      <c r="E73" s="3">
        <v>0</v>
      </c>
      <c r="F73" s="3">
        <v>40</v>
      </c>
      <c r="I73" s="3">
        <f t="shared" si="5"/>
        <v>0</v>
      </c>
      <c r="J73" s="3">
        <f t="shared" si="6"/>
        <v>0.5</v>
      </c>
      <c r="K73" s="15">
        <f t="shared" si="4"/>
        <v>9</v>
      </c>
    </row>
    <row r="74" spans="1:13" ht="17" x14ac:dyDescent="0.2">
      <c r="A74" s="3" t="str">
        <f t="shared" si="7"/>
        <v>Green</v>
      </c>
      <c r="B74" s="3" t="s">
        <v>25</v>
      </c>
      <c r="C74" s="3">
        <v>73</v>
      </c>
      <c r="D74" s="3">
        <v>100</v>
      </c>
      <c r="E74" s="3">
        <v>0</v>
      </c>
      <c r="F74" s="3">
        <v>40</v>
      </c>
      <c r="G74" s="11" t="s">
        <v>55</v>
      </c>
      <c r="H74" s="3" t="s">
        <v>91</v>
      </c>
      <c r="I74" s="3">
        <f t="shared" si="5"/>
        <v>0</v>
      </c>
      <c r="J74" s="3">
        <f t="shared" si="6"/>
        <v>0.5</v>
      </c>
      <c r="K74" s="15">
        <f t="shared" si="4"/>
        <v>9</v>
      </c>
      <c r="L74" s="1" t="b">
        <v>1</v>
      </c>
    </row>
    <row r="75" spans="1:13" x14ac:dyDescent="0.2">
      <c r="A75" s="3" t="str">
        <f t="shared" si="7"/>
        <v>Green</v>
      </c>
      <c r="B75" s="3" t="s">
        <v>26</v>
      </c>
      <c r="C75" s="5">
        <v>74</v>
      </c>
      <c r="D75" s="3">
        <v>100</v>
      </c>
      <c r="E75" s="3">
        <v>0</v>
      </c>
      <c r="F75" s="3">
        <v>40</v>
      </c>
      <c r="I75" s="3">
        <f t="shared" si="5"/>
        <v>0</v>
      </c>
      <c r="J75" s="3">
        <f t="shared" si="6"/>
        <v>0.5</v>
      </c>
      <c r="K75" s="15">
        <f t="shared" si="4"/>
        <v>9</v>
      </c>
    </row>
    <row r="76" spans="1:13" x14ac:dyDescent="0.2">
      <c r="A76" s="3" t="str">
        <f t="shared" si="7"/>
        <v>Green</v>
      </c>
      <c r="B76" s="3" t="s">
        <v>26</v>
      </c>
      <c r="C76" s="3">
        <v>75</v>
      </c>
      <c r="D76" s="3">
        <v>100</v>
      </c>
      <c r="E76" s="3">
        <v>0</v>
      </c>
      <c r="F76" s="3">
        <v>40</v>
      </c>
      <c r="I76" s="3">
        <f t="shared" si="5"/>
        <v>0</v>
      </c>
      <c r="J76" s="3">
        <f t="shared" si="6"/>
        <v>0.5</v>
      </c>
      <c r="K76" s="15">
        <f t="shared" si="4"/>
        <v>9</v>
      </c>
      <c r="M76" s="23"/>
    </row>
    <row r="77" spans="1:13" x14ac:dyDescent="0.2">
      <c r="A77" s="3" t="str">
        <f t="shared" si="7"/>
        <v>Green</v>
      </c>
      <c r="B77" s="3" t="s">
        <v>26</v>
      </c>
      <c r="C77" s="3">
        <v>76</v>
      </c>
      <c r="D77" s="3">
        <v>100</v>
      </c>
      <c r="E77" s="3">
        <v>0</v>
      </c>
      <c r="F77" s="3">
        <v>40</v>
      </c>
      <c r="G77" s="3" t="s">
        <v>67</v>
      </c>
      <c r="I77" s="3">
        <f t="shared" si="5"/>
        <v>0</v>
      </c>
      <c r="J77" s="3">
        <f t="shared" si="6"/>
        <v>0.5</v>
      </c>
      <c r="K77" s="15">
        <f t="shared" si="4"/>
        <v>9</v>
      </c>
      <c r="L77" s="1" t="b">
        <v>1</v>
      </c>
    </row>
    <row r="78" spans="1:13" ht="17" x14ac:dyDescent="0.2">
      <c r="A78" s="3" t="str">
        <f t="shared" si="7"/>
        <v>Green</v>
      </c>
      <c r="B78" s="3" t="s">
        <v>27</v>
      </c>
      <c r="C78" s="3">
        <v>77</v>
      </c>
      <c r="D78" s="3">
        <v>300</v>
      </c>
      <c r="E78" s="3">
        <v>0</v>
      </c>
      <c r="F78" s="3">
        <v>70</v>
      </c>
      <c r="G78" s="11" t="s">
        <v>68</v>
      </c>
      <c r="H78" s="3" t="s">
        <v>90</v>
      </c>
      <c r="I78" s="3">
        <f t="shared" ref="I78:I109" si="8">E78*D78/100</f>
        <v>0</v>
      </c>
      <c r="J78" s="3">
        <f t="shared" ref="J78:J109" si="9">I78+J77</f>
        <v>0.5</v>
      </c>
      <c r="K78" s="15">
        <f t="shared" si="4"/>
        <v>15.428571428571431</v>
      </c>
      <c r="L78" s="1" t="b">
        <v>1</v>
      </c>
    </row>
    <row r="79" spans="1:13" x14ac:dyDescent="0.2">
      <c r="A79" s="3" t="str">
        <f t="shared" si="7"/>
        <v>Green</v>
      </c>
      <c r="B79" s="3" t="s">
        <v>27</v>
      </c>
      <c r="C79" s="5">
        <v>78</v>
      </c>
      <c r="D79" s="3">
        <v>300</v>
      </c>
      <c r="E79" s="3">
        <v>0</v>
      </c>
      <c r="F79" s="3">
        <v>70</v>
      </c>
      <c r="I79" s="3">
        <f t="shared" si="8"/>
        <v>0</v>
      </c>
      <c r="J79" s="3">
        <f t="shared" si="9"/>
        <v>0.5</v>
      </c>
      <c r="K79" s="15">
        <f t="shared" si="4"/>
        <v>15.428571428571431</v>
      </c>
    </row>
    <row r="80" spans="1:13" x14ac:dyDescent="0.2">
      <c r="A80" s="3" t="str">
        <f t="shared" si="7"/>
        <v>Green</v>
      </c>
      <c r="B80" s="3" t="s">
        <v>27</v>
      </c>
      <c r="C80" s="3">
        <v>79</v>
      </c>
      <c r="D80" s="3">
        <v>300</v>
      </c>
      <c r="E80" s="3">
        <v>0</v>
      </c>
      <c r="F80" s="3">
        <v>70</v>
      </c>
      <c r="I80" s="3">
        <f t="shared" si="8"/>
        <v>0</v>
      </c>
      <c r="J80" s="3">
        <f t="shared" si="9"/>
        <v>0.5</v>
      </c>
      <c r="K80" s="15">
        <f t="shared" si="4"/>
        <v>15.428571428571431</v>
      </c>
    </row>
    <row r="81" spans="1:12" x14ac:dyDescent="0.2">
      <c r="A81" s="3" t="str">
        <f t="shared" si="7"/>
        <v>Green</v>
      </c>
      <c r="B81" s="3" t="s">
        <v>27</v>
      </c>
      <c r="C81" s="3">
        <v>80</v>
      </c>
      <c r="D81" s="3">
        <v>300</v>
      </c>
      <c r="E81" s="3">
        <v>0</v>
      </c>
      <c r="F81" s="3">
        <v>70</v>
      </c>
      <c r="I81" s="3">
        <f t="shared" si="8"/>
        <v>0</v>
      </c>
      <c r="J81" s="3">
        <f t="shared" si="9"/>
        <v>0.5</v>
      </c>
      <c r="K81" s="15">
        <f t="shared" si="4"/>
        <v>15.428571428571431</v>
      </c>
    </row>
    <row r="82" spans="1:12" x14ac:dyDescent="0.2">
      <c r="A82" s="3" t="str">
        <f t="shared" si="7"/>
        <v>Green</v>
      </c>
      <c r="B82" s="3" t="s">
        <v>27</v>
      </c>
      <c r="C82" s="3">
        <v>81</v>
      </c>
      <c r="D82" s="3">
        <v>300</v>
      </c>
      <c r="E82" s="3">
        <v>0</v>
      </c>
      <c r="F82" s="3">
        <v>70</v>
      </c>
      <c r="I82" s="3">
        <f t="shared" si="8"/>
        <v>0</v>
      </c>
      <c r="J82" s="3">
        <f t="shared" si="9"/>
        <v>0.5</v>
      </c>
      <c r="K82" s="15">
        <f t="shared" si="4"/>
        <v>15.428571428571431</v>
      </c>
    </row>
    <row r="83" spans="1:12" x14ac:dyDescent="0.2">
      <c r="A83" s="3" t="str">
        <f t="shared" si="7"/>
        <v>Green</v>
      </c>
      <c r="B83" s="3" t="s">
        <v>27</v>
      </c>
      <c r="C83" s="5">
        <v>82</v>
      </c>
      <c r="D83" s="3">
        <v>300</v>
      </c>
      <c r="E83" s="3">
        <v>0</v>
      </c>
      <c r="F83" s="3">
        <v>70</v>
      </c>
      <c r="I83" s="3">
        <f t="shared" si="8"/>
        <v>0</v>
      </c>
      <c r="J83" s="3">
        <f t="shared" si="9"/>
        <v>0.5</v>
      </c>
      <c r="K83" s="15">
        <f t="shared" si="4"/>
        <v>15.428571428571431</v>
      </c>
    </row>
    <row r="84" spans="1:12" x14ac:dyDescent="0.2">
      <c r="A84" s="3" t="str">
        <f t="shared" si="7"/>
        <v>Green</v>
      </c>
      <c r="B84" s="3" t="s">
        <v>27</v>
      </c>
      <c r="C84" s="3">
        <v>83</v>
      </c>
      <c r="D84" s="3">
        <v>300</v>
      </c>
      <c r="E84" s="3">
        <v>0</v>
      </c>
      <c r="F84" s="3">
        <v>70</v>
      </c>
      <c r="I84" s="3">
        <f t="shared" si="8"/>
        <v>0</v>
      </c>
      <c r="J84" s="3">
        <f t="shared" si="9"/>
        <v>0.5</v>
      </c>
      <c r="K84" s="15">
        <f t="shared" si="4"/>
        <v>15.428571428571431</v>
      </c>
    </row>
    <row r="85" spans="1:12" x14ac:dyDescent="0.2">
      <c r="A85" s="3" t="str">
        <f t="shared" si="7"/>
        <v>Green</v>
      </c>
      <c r="B85" s="3" t="s">
        <v>27</v>
      </c>
      <c r="C85" s="3">
        <v>84</v>
      </c>
      <c r="D85" s="3">
        <v>300</v>
      </c>
      <c r="E85" s="3">
        <v>0</v>
      </c>
      <c r="F85" s="3">
        <v>70</v>
      </c>
      <c r="I85" s="3">
        <f t="shared" si="8"/>
        <v>0</v>
      </c>
      <c r="J85" s="3">
        <f t="shared" si="9"/>
        <v>0.5</v>
      </c>
      <c r="K85" s="15">
        <f t="shared" si="4"/>
        <v>15.428571428571431</v>
      </c>
    </row>
    <row r="86" spans="1:12" x14ac:dyDescent="0.2">
      <c r="A86" s="3" t="str">
        <f t="shared" si="7"/>
        <v>Green</v>
      </c>
      <c r="B86" s="3" t="s">
        <v>27</v>
      </c>
      <c r="C86" s="3">
        <v>85</v>
      </c>
      <c r="D86" s="3">
        <v>300</v>
      </c>
      <c r="E86" s="3">
        <v>0</v>
      </c>
      <c r="F86" s="3">
        <v>70</v>
      </c>
      <c r="G86" s="3" t="s">
        <v>69</v>
      </c>
      <c r="I86" s="3">
        <f t="shared" si="8"/>
        <v>0</v>
      </c>
      <c r="J86" s="3">
        <f t="shared" si="9"/>
        <v>0.5</v>
      </c>
      <c r="K86" s="15">
        <f t="shared" si="4"/>
        <v>15.428571428571431</v>
      </c>
      <c r="L86" s="1" t="b">
        <v>1</v>
      </c>
    </row>
    <row r="87" spans="1:12" x14ac:dyDescent="0.2">
      <c r="A87" s="3" t="str">
        <f t="shared" si="7"/>
        <v>Green</v>
      </c>
      <c r="B87" s="3" t="s">
        <v>28</v>
      </c>
      <c r="C87" s="5">
        <v>86</v>
      </c>
      <c r="D87" s="3">
        <v>100</v>
      </c>
      <c r="E87" s="3">
        <v>0</v>
      </c>
      <c r="F87" s="3">
        <v>25</v>
      </c>
      <c r="I87" s="3">
        <f t="shared" si="8"/>
        <v>0</v>
      </c>
      <c r="J87" s="3">
        <f t="shared" si="9"/>
        <v>0.5</v>
      </c>
      <c r="K87" s="15">
        <f t="shared" si="4"/>
        <v>14.399999999999999</v>
      </c>
    </row>
    <row r="88" spans="1:12" x14ac:dyDescent="0.2">
      <c r="A88" s="3" t="str">
        <f t="shared" si="7"/>
        <v>Green</v>
      </c>
      <c r="B88" s="3" t="s">
        <v>28</v>
      </c>
      <c r="C88" s="3">
        <v>87</v>
      </c>
      <c r="D88" s="3">
        <v>86.6</v>
      </c>
      <c r="E88" s="3">
        <v>0</v>
      </c>
      <c r="F88" s="3">
        <v>25</v>
      </c>
      <c r="I88" s="3">
        <f t="shared" si="8"/>
        <v>0</v>
      </c>
      <c r="J88" s="3">
        <f t="shared" si="9"/>
        <v>0.5</v>
      </c>
      <c r="K88" s="15">
        <f t="shared" si="4"/>
        <v>12.470399999999998</v>
      </c>
    </row>
    <row r="89" spans="1:12" ht="17" x14ac:dyDescent="0.2">
      <c r="A89" s="3" t="str">
        <f t="shared" si="7"/>
        <v>Green</v>
      </c>
      <c r="B89" s="3" t="s">
        <v>28</v>
      </c>
      <c r="C89" s="3">
        <v>88</v>
      </c>
      <c r="D89" s="3">
        <v>100</v>
      </c>
      <c r="E89" s="3">
        <v>0</v>
      </c>
      <c r="F89" s="3">
        <v>25</v>
      </c>
      <c r="G89" s="11" t="s">
        <v>56</v>
      </c>
      <c r="H89" s="3" t="s">
        <v>89</v>
      </c>
      <c r="I89" s="3">
        <f t="shared" si="8"/>
        <v>0</v>
      </c>
      <c r="J89" s="3">
        <f t="shared" si="9"/>
        <v>0.5</v>
      </c>
      <c r="K89" s="15">
        <f t="shared" si="4"/>
        <v>14.399999999999999</v>
      </c>
      <c r="L89" s="1" t="b">
        <v>1</v>
      </c>
    </row>
    <row r="90" spans="1:12" x14ac:dyDescent="0.2">
      <c r="A90" s="3" t="str">
        <f t="shared" si="7"/>
        <v>Green</v>
      </c>
      <c r="B90" s="3" t="s">
        <v>29</v>
      </c>
      <c r="C90" s="3">
        <v>89</v>
      </c>
      <c r="D90" s="3">
        <v>75</v>
      </c>
      <c r="E90" s="3">
        <v>-0.5</v>
      </c>
      <c r="F90" s="3">
        <v>25</v>
      </c>
      <c r="I90" s="3">
        <f t="shared" si="8"/>
        <v>-0.375</v>
      </c>
      <c r="J90" s="3">
        <f t="shared" si="9"/>
        <v>0.125</v>
      </c>
      <c r="K90" s="15">
        <f t="shared" si="4"/>
        <v>10.799999999999999</v>
      </c>
    </row>
    <row r="91" spans="1:12" x14ac:dyDescent="0.2">
      <c r="A91" s="3" t="str">
        <f t="shared" si="7"/>
        <v>Green</v>
      </c>
      <c r="B91" s="3" t="s">
        <v>29</v>
      </c>
      <c r="C91" s="5">
        <v>90</v>
      </c>
      <c r="D91" s="3">
        <v>75</v>
      </c>
      <c r="E91" s="3">
        <v>-1</v>
      </c>
      <c r="F91" s="3">
        <v>25</v>
      </c>
      <c r="I91" s="3">
        <f t="shared" si="8"/>
        <v>-0.75</v>
      </c>
      <c r="J91" s="3">
        <f t="shared" si="9"/>
        <v>-0.625</v>
      </c>
      <c r="K91" s="15">
        <f t="shared" si="4"/>
        <v>10.799999999999999</v>
      </c>
    </row>
    <row r="92" spans="1:12" x14ac:dyDescent="0.2">
      <c r="A92" s="3" t="str">
        <f t="shared" si="7"/>
        <v>Green</v>
      </c>
      <c r="B92" s="3" t="s">
        <v>29</v>
      </c>
      <c r="C92" s="3">
        <v>91</v>
      </c>
      <c r="D92" s="3">
        <v>75</v>
      </c>
      <c r="E92" s="3">
        <v>-2</v>
      </c>
      <c r="F92" s="3">
        <v>25</v>
      </c>
      <c r="I92" s="3">
        <f t="shared" si="8"/>
        <v>-1.5</v>
      </c>
      <c r="J92" s="3">
        <f t="shared" si="9"/>
        <v>-2.125</v>
      </c>
      <c r="K92" s="15">
        <f t="shared" si="4"/>
        <v>10.799999999999999</v>
      </c>
    </row>
    <row r="93" spans="1:12" x14ac:dyDescent="0.2">
      <c r="A93" s="3" t="str">
        <f t="shared" si="7"/>
        <v>Green</v>
      </c>
      <c r="B93" s="3" t="s">
        <v>29</v>
      </c>
      <c r="C93" s="3">
        <v>92</v>
      </c>
      <c r="D93" s="3">
        <v>75</v>
      </c>
      <c r="E93" s="3">
        <v>0</v>
      </c>
      <c r="F93" s="3">
        <v>25</v>
      </c>
      <c r="I93" s="3">
        <f t="shared" si="8"/>
        <v>0</v>
      </c>
      <c r="J93" s="3">
        <f t="shared" si="9"/>
        <v>-2.125</v>
      </c>
      <c r="K93" s="15">
        <f t="shared" si="4"/>
        <v>10.799999999999999</v>
      </c>
    </row>
    <row r="94" spans="1:12" x14ac:dyDescent="0.2">
      <c r="A94" s="3" t="str">
        <f t="shared" si="7"/>
        <v>Green</v>
      </c>
      <c r="B94" s="3" t="s">
        <v>29</v>
      </c>
      <c r="C94" s="3">
        <v>93</v>
      </c>
      <c r="D94" s="3">
        <v>75</v>
      </c>
      <c r="E94" s="3">
        <v>2</v>
      </c>
      <c r="F94" s="3">
        <v>25</v>
      </c>
      <c r="I94" s="3">
        <f t="shared" si="8"/>
        <v>1.5</v>
      </c>
      <c r="J94" s="3">
        <f t="shared" si="9"/>
        <v>-0.625</v>
      </c>
      <c r="K94" s="15">
        <f t="shared" si="4"/>
        <v>10.799999999999999</v>
      </c>
    </row>
    <row r="95" spans="1:12" x14ac:dyDescent="0.2">
      <c r="A95" s="3" t="str">
        <f t="shared" si="7"/>
        <v>Green</v>
      </c>
      <c r="B95" s="3" t="s">
        <v>29</v>
      </c>
      <c r="C95" s="5">
        <v>94</v>
      </c>
      <c r="D95" s="3">
        <v>75</v>
      </c>
      <c r="E95" s="3">
        <v>1</v>
      </c>
      <c r="F95" s="3">
        <v>25</v>
      </c>
      <c r="I95" s="3">
        <f t="shared" si="8"/>
        <v>0.75</v>
      </c>
      <c r="J95" s="3">
        <f t="shared" si="9"/>
        <v>0.125</v>
      </c>
      <c r="K95" s="15">
        <f t="shared" si="4"/>
        <v>10.799999999999999</v>
      </c>
    </row>
    <row r="96" spans="1:12" x14ac:dyDescent="0.2">
      <c r="A96" s="3" t="str">
        <f t="shared" si="7"/>
        <v>Green</v>
      </c>
      <c r="B96" s="3" t="s">
        <v>29</v>
      </c>
      <c r="C96" s="3">
        <v>95</v>
      </c>
      <c r="D96" s="3">
        <v>75</v>
      </c>
      <c r="E96" s="3">
        <v>0.5</v>
      </c>
      <c r="F96" s="3">
        <v>25</v>
      </c>
      <c r="I96" s="3">
        <f t="shared" si="8"/>
        <v>0.375</v>
      </c>
      <c r="J96" s="3">
        <f t="shared" si="9"/>
        <v>0.5</v>
      </c>
      <c r="K96" s="15">
        <f t="shared" si="4"/>
        <v>10.799999999999999</v>
      </c>
    </row>
    <row r="97" spans="1:13" ht="17" x14ac:dyDescent="0.2">
      <c r="A97" s="3" t="str">
        <f t="shared" si="7"/>
        <v>Green</v>
      </c>
      <c r="B97" s="3" t="s">
        <v>29</v>
      </c>
      <c r="C97" s="3">
        <v>96</v>
      </c>
      <c r="D97" s="3">
        <v>75</v>
      </c>
      <c r="E97" s="3">
        <v>0</v>
      </c>
      <c r="F97" s="3">
        <v>25</v>
      </c>
      <c r="G97" s="11" t="s">
        <v>57</v>
      </c>
      <c r="H97" s="3" t="s">
        <v>89</v>
      </c>
      <c r="I97" s="3">
        <f t="shared" si="8"/>
        <v>0</v>
      </c>
      <c r="J97" s="3">
        <f t="shared" si="9"/>
        <v>0.5</v>
      </c>
      <c r="K97" s="15">
        <f t="shared" si="4"/>
        <v>10.799999999999999</v>
      </c>
      <c r="L97" s="1" t="b">
        <v>1</v>
      </c>
    </row>
    <row r="98" spans="1:13" x14ac:dyDescent="0.2">
      <c r="A98" s="3" t="str">
        <f t="shared" si="7"/>
        <v>Green</v>
      </c>
      <c r="B98" s="3" t="s">
        <v>29</v>
      </c>
      <c r="C98" s="3">
        <v>97</v>
      </c>
      <c r="D98" s="3">
        <v>75</v>
      </c>
      <c r="E98" s="3">
        <v>0</v>
      </c>
      <c r="F98" s="3">
        <v>25</v>
      </c>
      <c r="I98" s="3">
        <f t="shared" si="8"/>
        <v>0</v>
      </c>
      <c r="J98" s="3">
        <f t="shared" si="9"/>
        <v>0.5</v>
      </c>
      <c r="K98" s="15">
        <f t="shared" si="4"/>
        <v>10.799999999999999</v>
      </c>
    </row>
    <row r="99" spans="1:13" x14ac:dyDescent="0.2">
      <c r="A99" s="3" t="str">
        <f t="shared" si="7"/>
        <v>Green</v>
      </c>
      <c r="B99" s="3" t="s">
        <v>30</v>
      </c>
      <c r="C99" s="5">
        <v>98</v>
      </c>
      <c r="D99" s="3">
        <v>75</v>
      </c>
      <c r="E99" s="3">
        <v>0</v>
      </c>
      <c r="F99" s="3">
        <v>25</v>
      </c>
      <c r="I99" s="3">
        <f t="shared" si="8"/>
        <v>0</v>
      </c>
      <c r="J99" s="3">
        <f t="shared" si="9"/>
        <v>0.5</v>
      </c>
      <c r="K99" s="15">
        <f t="shared" si="4"/>
        <v>10.799999999999999</v>
      </c>
    </row>
    <row r="100" spans="1:13" x14ac:dyDescent="0.2">
      <c r="A100" s="3" t="str">
        <f t="shared" si="7"/>
        <v>Green</v>
      </c>
      <c r="B100" s="3" t="s">
        <v>30</v>
      </c>
      <c r="C100" s="3">
        <v>99</v>
      </c>
      <c r="D100" s="3">
        <v>75</v>
      </c>
      <c r="E100" s="3">
        <v>0</v>
      </c>
      <c r="F100" s="3">
        <v>25</v>
      </c>
      <c r="I100" s="3">
        <f t="shared" si="8"/>
        <v>0</v>
      </c>
      <c r="J100" s="3">
        <f t="shared" si="9"/>
        <v>0.5</v>
      </c>
      <c r="K100" s="15">
        <f t="shared" si="4"/>
        <v>10.799999999999999</v>
      </c>
    </row>
    <row r="101" spans="1:13" x14ac:dyDescent="0.2">
      <c r="A101" s="3" t="str">
        <f t="shared" si="7"/>
        <v>Green</v>
      </c>
      <c r="B101" s="3" t="s">
        <v>30</v>
      </c>
      <c r="C101" s="3">
        <v>100</v>
      </c>
      <c r="D101" s="3">
        <v>75</v>
      </c>
      <c r="E101" s="3">
        <v>0</v>
      </c>
      <c r="F101" s="3">
        <v>25</v>
      </c>
      <c r="I101" s="3">
        <f t="shared" si="8"/>
        <v>0</v>
      </c>
      <c r="J101" s="3">
        <f t="shared" si="9"/>
        <v>0.5</v>
      </c>
      <c r="K101" s="15">
        <f t="shared" si="4"/>
        <v>10.799999999999999</v>
      </c>
    </row>
    <row r="102" spans="1:13" x14ac:dyDescent="0.2">
      <c r="A102" s="3" t="str">
        <f t="shared" si="7"/>
        <v>Green</v>
      </c>
      <c r="B102" s="3" t="s">
        <v>31</v>
      </c>
      <c r="C102" s="3">
        <v>101</v>
      </c>
      <c r="D102" s="3">
        <v>35</v>
      </c>
      <c r="E102" s="3">
        <v>0</v>
      </c>
      <c r="F102" s="3">
        <v>26</v>
      </c>
      <c r="I102" s="3">
        <f t="shared" si="8"/>
        <v>0</v>
      </c>
      <c r="J102" s="3">
        <f t="shared" si="9"/>
        <v>0.5</v>
      </c>
      <c r="K102" s="15">
        <f t="shared" si="4"/>
        <v>4.8461538461538467</v>
      </c>
    </row>
    <row r="103" spans="1:13" x14ac:dyDescent="0.2">
      <c r="A103" s="3" t="str">
        <f t="shared" si="7"/>
        <v>Green</v>
      </c>
      <c r="B103" s="3" t="s">
        <v>32</v>
      </c>
      <c r="C103" s="5">
        <v>102</v>
      </c>
      <c r="D103" s="3">
        <v>100</v>
      </c>
      <c r="E103" s="3">
        <v>0</v>
      </c>
      <c r="F103" s="3">
        <v>28</v>
      </c>
      <c r="I103" s="3">
        <f t="shared" si="8"/>
        <v>0</v>
      </c>
      <c r="J103" s="3">
        <f t="shared" si="9"/>
        <v>0.5</v>
      </c>
      <c r="K103" s="15">
        <f t="shared" si="4"/>
        <v>12.857142857142859</v>
      </c>
      <c r="M103" s="23"/>
    </row>
    <row r="104" spans="1:13" x14ac:dyDescent="0.2">
      <c r="A104" s="3" t="str">
        <f t="shared" si="7"/>
        <v>Green</v>
      </c>
      <c r="B104" s="3" t="s">
        <v>32</v>
      </c>
      <c r="C104" s="3">
        <v>103</v>
      </c>
      <c r="D104" s="3">
        <v>100</v>
      </c>
      <c r="E104" s="3">
        <v>0</v>
      </c>
      <c r="F104" s="3">
        <v>28</v>
      </c>
      <c r="I104" s="3">
        <f t="shared" si="8"/>
        <v>0</v>
      </c>
      <c r="J104" s="3">
        <f t="shared" si="9"/>
        <v>0.5</v>
      </c>
      <c r="K104" s="15">
        <f t="shared" si="4"/>
        <v>12.857142857142859</v>
      </c>
    </row>
    <row r="105" spans="1:13" x14ac:dyDescent="0.2">
      <c r="A105" s="3" t="str">
        <f t="shared" si="7"/>
        <v>Green</v>
      </c>
      <c r="B105" s="3" t="s">
        <v>32</v>
      </c>
      <c r="C105" s="3">
        <v>104</v>
      </c>
      <c r="D105" s="3">
        <v>80</v>
      </c>
      <c r="E105" s="3">
        <v>0</v>
      </c>
      <c r="F105" s="3">
        <v>28</v>
      </c>
      <c r="I105" s="3">
        <f t="shared" si="8"/>
        <v>0</v>
      </c>
      <c r="J105" s="3">
        <f t="shared" si="9"/>
        <v>0.5</v>
      </c>
      <c r="K105" s="15">
        <f t="shared" si="4"/>
        <v>10.285714285714286</v>
      </c>
    </row>
    <row r="106" spans="1:13" ht="17" x14ac:dyDescent="0.2">
      <c r="A106" s="3" t="str">
        <f t="shared" si="7"/>
        <v>Green</v>
      </c>
      <c r="B106" s="3" t="s">
        <v>33</v>
      </c>
      <c r="C106" s="3">
        <v>105</v>
      </c>
      <c r="D106" s="3">
        <v>100</v>
      </c>
      <c r="E106" s="3">
        <v>0</v>
      </c>
      <c r="F106" s="3">
        <v>28</v>
      </c>
      <c r="G106" s="11" t="str">
        <f>G74</f>
        <v>STATION; DORMONT</v>
      </c>
      <c r="H106" s="3" t="s">
        <v>91</v>
      </c>
      <c r="I106" s="3">
        <f t="shared" si="8"/>
        <v>0</v>
      </c>
      <c r="J106" s="3">
        <f t="shared" si="9"/>
        <v>0.5</v>
      </c>
      <c r="K106" s="15">
        <f t="shared" si="4"/>
        <v>12.857142857142859</v>
      </c>
      <c r="L106" s="1" t="b">
        <v>1</v>
      </c>
    </row>
    <row r="107" spans="1:13" x14ac:dyDescent="0.2">
      <c r="A107" s="3" t="str">
        <f t="shared" si="7"/>
        <v>Green</v>
      </c>
      <c r="B107" s="3" t="s">
        <v>33</v>
      </c>
      <c r="C107" s="5">
        <v>106</v>
      </c>
      <c r="D107" s="3">
        <v>100</v>
      </c>
      <c r="E107" s="3">
        <v>0</v>
      </c>
      <c r="F107" s="3">
        <v>28</v>
      </c>
      <c r="I107" s="3">
        <f t="shared" si="8"/>
        <v>0</v>
      </c>
      <c r="J107" s="3">
        <f t="shared" si="9"/>
        <v>0.5</v>
      </c>
      <c r="K107" s="15">
        <f t="shared" si="4"/>
        <v>12.857142857142859</v>
      </c>
    </row>
    <row r="108" spans="1:13" x14ac:dyDescent="0.2">
      <c r="A108" s="3" t="str">
        <f t="shared" si="7"/>
        <v>Green</v>
      </c>
      <c r="B108" s="3" t="s">
        <v>33</v>
      </c>
      <c r="C108" s="3">
        <v>107</v>
      </c>
      <c r="D108" s="3">
        <v>90</v>
      </c>
      <c r="E108" s="3">
        <v>0</v>
      </c>
      <c r="F108" s="3">
        <v>28</v>
      </c>
      <c r="I108" s="3">
        <f t="shared" si="8"/>
        <v>0</v>
      </c>
      <c r="J108" s="3">
        <f t="shared" si="9"/>
        <v>0.5</v>
      </c>
      <c r="K108" s="15">
        <f t="shared" si="4"/>
        <v>11.571428571428573</v>
      </c>
    </row>
    <row r="109" spans="1:13" x14ac:dyDescent="0.2">
      <c r="A109" s="3" t="str">
        <f t="shared" si="7"/>
        <v>Green</v>
      </c>
      <c r="B109" s="3" t="s">
        <v>33</v>
      </c>
      <c r="C109" s="3">
        <v>108</v>
      </c>
      <c r="D109" s="3">
        <v>100</v>
      </c>
      <c r="E109" s="3">
        <v>0</v>
      </c>
      <c r="F109" s="3">
        <v>28</v>
      </c>
      <c r="I109" s="3">
        <f t="shared" si="8"/>
        <v>0</v>
      </c>
      <c r="J109" s="3">
        <f t="shared" si="9"/>
        <v>0.5</v>
      </c>
      <c r="K109" s="15">
        <f t="shared" si="4"/>
        <v>12.857142857142859</v>
      </c>
    </row>
    <row r="110" spans="1:13" x14ac:dyDescent="0.2">
      <c r="A110" s="3" t="str">
        <f t="shared" si="7"/>
        <v>Green</v>
      </c>
      <c r="B110" s="3" t="s">
        <v>33</v>
      </c>
      <c r="C110" s="3">
        <v>109</v>
      </c>
      <c r="D110" s="3">
        <v>100</v>
      </c>
      <c r="E110" s="3">
        <v>0</v>
      </c>
      <c r="F110" s="3">
        <v>28</v>
      </c>
      <c r="I110" s="3">
        <f t="shared" ref="I110:I151" si="10">E110*D110/100</f>
        <v>0</v>
      </c>
      <c r="J110" s="3">
        <f t="shared" ref="J110:J151" si="11">I110+J109</f>
        <v>0.5</v>
      </c>
      <c r="K110" s="15">
        <f t="shared" si="4"/>
        <v>12.857142857142859</v>
      </c>
    </row>
    <row r="111" spans="1:13" x14ac:dyDescent="0.2">
      <c r="A111" s="3" t="str">
        <f t="shared" si="7"/>
        <v>Green</v>
      </c>
      <c r="B111" s="3" t="s">
        <v>44</v>
      </c>
      <c r="C111" s="5">
        <v>110</v>
      </c>
      <c r="D111" s="3">
        <v>100</v>
      </c>
      <c r="E111" s="3">
        <v>0</v>
      </c>
      <c r="F111" s="3">
        <v>30</v>
      </c>
      <c r="I111" s="3">
        <f t="shared" si="10"/>
        <v>0</v>
      </c>
      <c r="J111" s="3">
        <f t="shared" si="11"/>
        <v>0.5</v>
      </c>
      <c r="K111" s="15">
        <f t="shared" si="4"/>
        <v>12</v>
      </c>
    </row>
    <row r="112" spans="1:13" x14ac:dyDescent="0.2">
      <c r="A112" s="3" t="str">
        <f t="shared" si="7"/>
        <v>Green</v>
      </c>
      <c r="B112" s="3" t="s">
        <v>44</v>
      </c>
      <c r="C112" s="3">
        <v>111</v>
      </c>
      <c r="D112" s="3">
        <v>100</v>
      </c>
      <c r="E112" s="3">
        <v>0</v>
      </c>
      <c r="F112" s="3">
        <v>30</v>
      </c>
      <c r="I112" s="3">
        <f t="shared" si="10"/>
        <v>0</v>
      </c>
      <c r="J112" s="3">
        <f t="shared" si="11"/>
        <v>0.5</v>
      </c>
      <c r="K112" s="15">
        <f t="shared" si="4"/>
        <v>12</v>
      </c>
    </row>
    <row r="113" spans="1:13" x14ac:dyDescent="0.2">
      <c r="A113" s="3" t="str">
        <f t="shared" si="7"/>
        <v>Green</v>
      </c>
      <c r="B113" s="3" t="s">
        <v>44</v>
      </c>
      <c r="C113" s="3">
        <v>112</v>
      </c>
      <c r="D113" s="3">
        <v>100</v>
      </c>
      <c r="E113" s="3">
        <v>0</v>
      </c>
      <c r="F113" s="3">
        <v>30</v>
      </c>
      <c r="I113" s="3">
        <f t="shared" si="10"/>
        <v>0</v>
      </c>
      <c r="J113" s="3">
        <f t="shared" si="11"/>
        <v>0.5</v>
      </c>
      <c r="K113" s="15">
        <f t="shared" si="4"/>
        <v>12</v>
      </c>
      <c r="M113" s="23"/>
    </row>
    <row r="114" spans="1:13" x14ac:dyDescent="0.2">
      <c r="A114" s="3" t="str">
        <f t="shared" si="7"/>
        <v>Green</v>
      </c>
      <c r="B114" s="3" t="s">
        <v>44</v>
      </c>
      <c r="C114" s="3">
        <v>113</v>
      </c>
      <c r="D114" s="3">
        <v>100</v>
      </c>
      <c r="E114" s="3">
        <v>0</v>
      </c>
      <c r="F114" s="3">
        <v>30</v>
      </c>
      <c r="I114" s="3">
        <f t="shared" si="10"/>
        <v>0</v>
      </c>
      <c r="J114" s="3">
        <f t="shared" si="11"/>
        <v>0.5</v>
      </c>
      <c r="K114" s="15">
        <f t="shared" si="4"/>
        <v>12</v>
      </c>
    </row>
    <row r="115" spans="1:13" ht="17" x14ac:dyDescent="0.2">
      <c r="A115" s="3" t="str">
        <f t="shared" si="7"/>
        <v>Green</v>
      </c>
      <c r="B115" s="3" t="s">
        <v>44</v>
      </c>
      <c r="C115" s="5">
        <v>114</v>
      </c>
      <c r="D115" s="3">
        <f>100+62</f>
        <v>162</v>
      </c>
      <c r="E115" s="3">
        <v>0</v>
      </c>
      <c r="F115" s="3">
        <v>30</v>
      </c>
      <c r="G115" s="11" t="str">
        <f>G66</f>
        <v>STATION; GLENBURY</v>
      </c>
      <c r="H115" s="3" t="s">
        <v>91</v>
      </c>
      <c r="I115" s="3">
        <f t="shared" si="10"/>
        <v>0</v>
      </c>
      <c r="J115" s="3">
        <f t="shared" si="11"/>
        <v>0.5</v>
      </c>
      <c r="K115" s="15">
        <f t="shared" si="4"/>
        <v>19.439999999999998</v>
      </c>
      <c r="L115" s="1" t="b">
        <v>1</v>
      </c>
    </row>
    <row r="116" spans="1:13" x14ac:dyDescent="0.2">
      <c r="A116" s="3" t="str">
        <f t="shared" si="7"/>
        <v>Green</v>
      </c>
      <c r="B116" s="3" t="s">
        <v>44</v>
      </c>
      <c r="C116" s="3">
        <v>115</v>
      </c>
      <c r="D116" s="3">
        <v>100</v>
      </c>
      <c r="E116" s="3">
        <v>0</v>
      </c>
      <c r="F116" s="3">
        <v>30</v>
      </c>
      <c r="I116" s="3">
        <f t="shared" si="10"/>
        <v>0</v>
      </c>
      <c r="J116" s="3">
        <f t="shared" si="11"/>
        <v>0.5</v>
      </c>
      <c r="K116" s="15">
        <f t="shared" si="4"/>
        <v>12</v>
      </c>
    </row>
    <row r="117" spans="1:13" x14ac:dyDescent="0.2">
      <c r="A117" s="3" t="str">
        <f t="shared" si="7"/>
        <v>Green</v>
      </c>
      <c r="B117" s="3" t="s">
        <v>44</v>
      </c>
      <c r="C117" s="3">
        <v>116</v>
      </c>
      <c r="D117" s="3">
        <v>100</v>
      </c>
      <c r="E117" s="3">
        <v>0</v>
      </c>
      <c r="F117" s="3">
        <v>30</v>
      </c>
      <c r="I117" s="3">
        <f t="shared" si="10"/>
        <v>0</v>
      </c>
      <c r="J117" s="3">
        <f t="shared" si="11"/>
        <v>0.5</v>
      </c>
      <c r="K117" s="15">
        <f t="shared" si="4"/>
        <v>12</v>
      </c>
    </row>
    <row r="118" spans="1:13" x14ac:dyDescent="0.2">
      <c r="A118" s="3" t="str">
        <f t="shared" si="7"/>
        <v>Green</v>
      </c>
      <c r="B118" s="3" t="s">
        <v>45</v>
      </c>
      <c r="C118" s="3">
        <v>117</v>
      </c>
      <c r="D118" s="3">
        <v>50</v>
      </c>
      <c r="E118" s="3">
        <v>0</v>
      </c>
      <c r="F118" s="3">
        <v>15</v>
      </c>
      <c r="I118" s="3">
        <f t="shared" si="10"/>
        <v>0</v>
      </c>
      <c r="J118" s="3">
        <f t="shared" si="11"/>
        <v>0.5</v>
      </c>
      <c r="K118" s="15">
        <f t="shared" si="4"/>
        <v>12</v>
      </c>
    </row>
    <row r="119" spans="1:13" x14ac:dyDescent="0.2">
      <c r="A119" s="3" t="str">
        <f t="shared" si="7"/>
        <v>Green</v>
      </c>
      <c r="B119" s="3" t="s">
        <v>45</v>
      </c>
      <c r="C119" s="5">
        <v>118</v>
      </c>
      <c r="D119" s="3">
        <v>50</v>
      </c>
      <c r="E119" s="3">
        <v>0</v>
      </c>
      <c r="F119" s="3">
        <v>15</v>
      </c>
      <c r="I119" s="3">
        <f t="shared" si="10"/>
        <v>0</v>
      </c>
      <c r="J119" s="3">
        <f t="shared" si="11"/>
        <v>0.5</v>
      </c>
      <c r="K119" s="15">
        <f t="shared" si="4"/>
        <v>12</v>
      </c>
    </row>
    <row r="120" spans="1:13" x14ac:dyDescent="0.2">
      <c r="A120" s="3" t="str">
        <f t="shared" si="7"/>
        <v>Green</v>
      </c>
      <c r="B120" s="3" t="s">
        <v>45</v>
      </c>
      <c r="C120" s="3">
        <v>119</v>
      </c>
      <c r="D120" s="3">
        <v>40</v>
      </c>
      <c r="E120" s="3">
        <v>0</v>
      </c>
      <c r="F120" s="3">
        <v>15</v>
      </c>
      <c r="I120" s="3">
        <f t="shared" si="10"/>
        <v>0</v>
      </c>
      <c r="J120" s="3">
        <f t="shared" si="11"/>
        <v>0.5</v>
      </c>
      <c r="K120" s="15">
        <f t="shared" si="4"/>
        <v>9.6</v>
      </c>
    </row>
    <row r="121" spans="1:13" x14ac:dyDescent="0.2">
      <c r="A121" s="3" t="str">
        <f t="shared" si="7"/>
        <v>Green</v>
      </c>
      <c r="B121" s="3" t="s">
        <v>45</v>
      </c>
      <c r="C121" s="3">
        <v>120</v>
      </c>
      <c r="D121" s="3">
        <v>50</v>
      </c>
      <c r="E121" s="3">
        <v>0</v>
      </c>
      <c r="F121" s="3">
        <v>15</v>
      </c>
      <c r="I121" s="3">
        <f t="shared" si="10"/>
        <v>0</v>
      </c>
      <c r="J121" s="3">
        <f t="shared" si="11"/>
        <v>0.5</v>
      </c>
      <c r="K121" s="15">
        <f t="shared" si="4"/>
        <v>12</v>
      </c>
    </row>
    <row r="122" spans="1:13" x14ac:dyDescent="0.2">
      <c r="A122" s="3" t="str">
        <f t="shared" si="7"/>
        <v>Green</v>
      </c>
      <c r="B122" s="3" t="s">
        <v>45</v>
      </c>
      <c r="C122" s="3">
        <v>121</v>
      </c>
      <c r="D122" s="3">
        <v>50</v>
      </c>
      <c r="E122" s="3">
        <v>0</v>
      </c>
      <c r="F122" s="3">
        <v>15</v>
      </c>
      <c r="I122" s="3">
        <f t="shared" si="10"/>
        <v>0</v>
      </c>
      <c r="J122" s="3">
        <f t="shared" si="11"/>
        <v>0.5</v>
      </c>
      <c r="K122" s="15">
        <f t="shared" si="4"/>
        <v>12</v>
      </c>
    </row>
    <row r="123" spans="1:13" x14ac:dyDescent="0.2">
      <c r="A123" s="3" t="str">
        <f t="shared" si="7"/>
        <v>Green</v>
      </c>
      <c r="B123" s="3" t="s">
        <v>46</v>
      </c>
      <c r="C123" s="5">
        <v>122</v>
      </c>
      <c r="D123" s="3">
        <v>50</v>
      </c>
      <c r="E123" s="3">
        <v>0</v>
      </c>
      <c r="F123" s="3">
        <v>20</v>
      </c>
      <c r="G123" s="3" t="s">
        <v>34</v>
      </c>
      <c r="I123" s="3">
        <f t="shared" si="10"/>
        <v>0</v>
      </c>
      <c r="J123" s="3">
        <f t="shared" si="11"/>
        <v>0.5</v>
      </c>
      <c r="K123" s="15">
        <f t="shared" si="4"/>
        <v>9</v>
      </c>
    </row>
    <row r="124" spans="1:13" ht="34" x14ac:dyDescent="0.2">
      <c r="A124" s="3" t="str">
        <f t="shared" si="7"/>
        <v>Green</v>
      </c>
      <c r="B124" s="3" t="s">
        <v>46</v>
      </c>
      <c r="C124" s="3">
        <v>123</v>
      </c>
      <c r="D124" s="3">
        <v>50</v>
      </c>
      <c r="E124" s="3">
        <v>0</v>
      </c>
      <c r="F124" s="3">
        <v>20</v>
      </c>
      <c r="G124" s="11" t="str">
        <f>G58</f>
        <v>STATION; OVERBROOK; UNDERGROUND</v>
      </c>
      <c r="H124" s="3" t="s">
        <v>91</v>
      </c>
      <c r="I124" s="3">
        <f t="shared" si="10"/>
        <v>0</v>
      </c>
      <c r="J124" s="3">
        <f t="shared" si="11"/>
        <v>0.5</v>
      </c>
      <c r="K124" s="15">
        <f t="shared" si="4"/>
        <v>9</v>
      </c>
      <c r="L124" s="1" t="b">
        <v>1</v>
      </c>
    </row>
    <row r="125" spans="1:13" x14ac:dyDescent="0.2">
      <c r="A125" s="3" t="str">
        <f t="shared" si="7"/>
        <v>Green</v>
      </c>
      <c r="B125" s="3" t="s">
        <v>46</v>
      </c>
      <c r="C125" s="3">
        <v>124</v>
      </c>
      <c r="D125" s="3">
        <v>50</v>
      </c>
      <c r="E125" s="3">
        <v>0</v>
      </c>
      <c r="F125" s="3">
        <v>20</v>
      </c>
      <c r="G125" s="3" t="s">
        <v>34</v>
      </c>
      <c r="I125" s="3">
        <f t="shared" si="10"/>
        <v>0</v>
      </c>
      <c r="J125" s="3">
        <f t="shared" si="11"/>
        <v>0.5</v>
      </c>
      <c r="K125" s="15">
        <f t="shared" si="4"/>
        <v>9</v>
      </c>
    </row>
    <row r="126" spans="1:13" x14ac:dyDescent="0.2">
      <c r="A126" s="3" t="str">
        <f t="shared" si="7"/>
        <v>Green</v>
      </c>
      <c r="B126" s="3" t="s">
        <v>46</v>
      </c>
      <c r="C126" s="3">
        <v>125</v>
      </c>
      <c r="D126" s="3">
        <v>50</v>
      </c>
      <c r="E126" s="3">
        <v>0</v>
      </c>
      <c r="F126" s="3">
        <v>20</v>
      </c>
      <c r="G126" s="3" t="s">
        <v>34</v>
      </c>
      <c r="I126" s="3">
        <f t="shared" si="10"/>
        <v>0</v>
      </c>
      <c r="J126" s="3">
        <f t="shared" si="11"/>
        <v>0.5</v>
      </c>
      <c r="K126" s="15">
        <f t="shared" si="4"/>
        <v>9</v>
      </c>
    </row>
    <row r="127" spans="1:13" x14ac:dyDescent="0.2">
      <c r="A127" s="3" t="str">
        <f t="shared" si="7"/>
        <v>Green</v>
      </c>
      <c r="B127" s="3" t="s">
        <v>46</v>
      </c>
      <c r="C127" s="5">
        <v>126</v>
      </c>
      <c r="D127" s="3">
        <v>50</v>
      </c>
      <c r="E127" s="3">
        <v>0</v>
      </c>
      <c r="F127" s="3">
        <v>20</v>
      </c>
      <c r="G127" s="3" t="s">
        <v>34</v>
      </c>
      <c r="I127" s="3">
        <f t="shared" si="10"/>
        <v>0</v>
      </c>
      <c r="J127" s="3">
        <f t="shared" si="11"/>
        <v>0.5</v>
      </c>
      <c r="K127" s="15">
        <f t="shared" si="4"/>
        <v>9</v>
      </c>
    </row>
    <row r="128" spans="1:13" x14ac:dyDescent="0.2">
      <c r="A128" s="3" t="str">
        <f t="shared" si="7"/>
        <v>Green</v>
      </c>
      <c r="B128" s="3" t="s">
        <v>46</v>
      </c>
      <c r="C128" s="3">
        <v>127</v>
      </c>
      <c r="D128" s="3">
        <v>50</v>
      </c>
      <c r="E128" s="3">
        <v>0</v>
      </c>
      <c r="F128" s="3">
        <v>20</v>
      </c>
      <c r="G128" s="3" t="s">
        <v>34</v>
      </c>
      <c r="I128" s="3">
        <f t="shared" si="10"/>
        <v>0</v>
      </c>
      <c r="J128" s="3">
        <f t="shared" si="11"/>
        <v>0.5</v>
      </c>
      <c r="K128" s="15">
        <f t="shared" si="4"/>
        <v>9</v>
      </c>
    </row>
    <row r="129" spans="1:12" x14ac:dyDescent="0.2">
      <c r="A129" s="3" t="str">
        <f t="shared" si="7"/>
        <v>Green</v>
      </c>
      <c r="B129" s="3" t="s">
        <v>46</v>
      </c>
      <c r="C129" s="3">
        <v>128</v>
      </c>
      <c r="D129" s="3">
        <v>50</v>
      </c>
      <c r="E129" s="3">
        <v>0</v>
      </c>
      <c r="F129" s="3">
        <v>20</v>
      </c>
      <c r="G129" s="3" t="s">
        <v>34</v>
      </c>
      <c r="I129" s="3">
        <f t="shared" si="10"/>
        <v>0</v>
      </c>
      <c r="J129" s="3">
        <f t="shared" si="11"/>
        <v>0.5</v>
      </c>
      <c r="K129" s="15">
        <f t="shared" si="4"/>
        <v>9</v>
      </c>
    </row>
    <row r="130" spans="1:12" x14ac:dyDescent="0.2">
      <c r="A130" s="3" t="str">
        <f t="shared" si="7"/>
        <v>Green</v>
      </c>
      <c r="B130" s="3" t="s">
        <v>46</v>
      </c>
      <c r="C130" s="3">
        <v>129</v>
      </c>
      <c r="D130" s="3">
        <v>50</v>
      </c>
      <c r="E130" s="3">
        <v>0</v>
      </c>
      <c r="F130" s="3">
        <v>20</v>
      </c>
      <c r="G130" s="3" t="s">
        <v>34</v>
      </c>
      <c r="I130" s="3">
        <f t="shared" si="10"/>
        <v>0</v>
      </c>
      <c r="J130" s="3">
        <f t="shared" si="11"/>
        <v>0.5</v>
      </c>
      <c r="K130" s="15">
        <f t="shared" ref="K130:K150" si="12">D130*(1/(F130*1000/(60*60)))</f>
        <v>9</v>
      </c>
    </row>
    <row r="131" spans="1:12" x14ac:dyDescent="0.2">
      <c r="A131" s="3" t="str">
        <f t="shared" si="7"/>
        <v>Green</v>
      </c>
      <c r="B131" s="3" t="s">
        <v>46</v>
      </c>
      <c r="C131" s="5">
        <v>130</v>
      </c>
      <c r="D131" s="3">
        <v>50</v>
      </c>
      <c r="E131" s="3">
        <v>0</v>
      </c>
      <c r="F131" s="3">
        <v>20</v>
      </c>
      <c r="G131" s="3" t="s">
        <v>34</v>
      </c>
      <c r="I131" s="3">
        <f t="shared" si="10"/>
        <v>0</v>
      </c>
      <c r="J131" s="3">
        <f t="shared" si="11"/>
        <v>0.5</v>
      </c>
      <c r="K131" s="15">
        <f t="shared" si="12"/>
        <v>9</v>
      </c>
    </row>
    <row r="132" spans="1:12" x14ac:dyDescent="0.2">
      <c r="A132" s="3" t="str">
        <f t="shared" si="7"/>
        <v>Green</v>
      </c>
      <c r="B132" s="3" t="s">
        <v>46</v>
      </c>
      <c r="C132" s="3">
        <v>131</v>
      </c>
      <c r="D132" s="3">
        <v>50</v>
      </c>
      <c r="E132" s="3">
        <v>0</v>
      </c>
      <c r="F132" s="3">
        <v>20</v>
      </c>
      <c r="G132" s="3" t="s">
        <v>34</v>
      </c>
      <c r="I132" s="3">
        <f t="shared" si="10"/>
        <v>0</v>
      </c>
      <c r="J132" s="3">
        <f t="shared" si="11"/>
        <v>0.5</v>
      </c>
      <c r="K132" s="15">
        <f t="shared" si="12"/>
        <v>9</v>
      </c>
    </row>
    <row r="133" spans="1:12" ht="34" x14ac:dyDescent="0.2">
      <c r="A133" s="3" t="str">
        <f t="shared" si="7"/>
        <v>Green</v>
      </c>
      <c r="B133" s="3" t="s">
        <v>46</v>
      </c>
      <c r="C133" s="3">
        <v>132</v>
      </c>
      <c r="D133" s="3">
        <v>50</v>
      </c>
      <c r="E133" s="3">
        <v>0</v>
      </c>
      <c r="F133" s="3">
        <v>20</v>
      </c>
      <c r="G133" s="11" t="str">
        <f>G49</f>
        <v>STATION; INGLEWOOD; UNDERGROUND</v>
      </c>
      <c r="H133" s="3" t="s">
        <v>89</v>
      </c>
      <c r="I133" s="3">
        <f t="shared" si="10"/>
        <v>0</v>
      </c>
      <c r="J133" s="3">
        <f t="shared" si="11"/>
        <v>0.5</v>
      </c>
      <c r="K133" s="15">
        <f t="shared" si="12"/>
        <v>9</v>
      </c>
      <c r="L133" s="1" t="b">
        <v>1</v>
      </c>
    </row>
    <row r="134" spans="1:12" x14ac:dyDescent="0.2">
      <c r="A134" s="3" t="str">
        <f t="shared" si="7"/>
        <v>Green</v>
      </c>
      <c r="B134" s="3" t="s">
        <v>46</v>
      </c>
      <c r="C134" s="3">
        <v>133</v>
      </c>
      <c r="D134" s="3">
        <v>50</v>
      </c>
      <c r="E134" s="3">
        <v>0</v>
      </c>
      <c r="F134" s="3">
        <v>20</v>
      </c>
      <c r="G134" s="3" t="s">
        <v>34</v>
      </c>
      <c r="I134" s="3">
        <f t="shared" si="10"/>
        <v>0</v>
      </c>
      <c r="J134" s="3">
        <f t="shared" si="11"/>
        <v>0.5</v>
      </c>
      <c r="K134" s="15">
        <f t="shared" si="12"/>
        <v>9</v>
      </c>
    </row>
    <row r="135" spans="1:12" x14ac:dyDescent="0.2">
      <c r="A135" s="3" t="str">
        <f t="shared" ref="A135:A151" si="13">A134</f>
        <v>Green</v>
      </c>
      <c r="B135" s="3" t="s">
        <v>46</v>
      </c>
      <c r="C135" s="5">
        <v>134</v>
      </c>
      <c r="D135" s="3">
        <v>50</v>
      </c>
      <c r="E135" s="3">
        <v>0</v>
      </c>
      <c r="F135" s="3">
        <v>20</v>
      </c>
      <c r="G135" s="3" t="s">
        <v>34</v>
      </c>
      <c r="I135" s="3">
        <f t="shared" si="10"/>
        <v>0</v>
      </c>
      <c r="J135" s="3">
        <f t="shared" si="11"/>
        <v>0.5</v>
      </c>
      <c r="K135" s="15">
        <f t="shared" si="12"/>
        <v>9</v>
      </c>
    </row>
    <row r="136" spans="1:12" x14ac:dyDescent="0.2">
      <c r="A136" s="3" t="str">
        <f t="shared" si="13"/>
        <v>Green</v>
      </c>
      <c r="B136" s="3" t="s">
        <v>46</v>
      </c>
      <c r="C136" s="3">
        <v>135</v>
      </c>
      <c r="D136" s="3">
        <v>50</v>
      </c>
      <c r="E136" s="3">
        <v>0</v>
      </c>
      <c r="F136" s="3">
        <v>20</v>
      </c>
      <c r="G136" s="3" t="s">
        <v>34</v>
      </c>
      <c r="I136" s="3">
        <f t="shared" si="10"/>
        <v>0</v>
      </c>
      <c r="J136" s="3">
        <f t="shared" si="11"/>
        <v>0.5</v>
      </c>
      <c r="K136" s="15">
        <f t="shared" si="12"/>
        <v>9</v>
      </c>
    </row>
    <row r="137" spans="1:12" x14ac:dyDescent="0.2">
      <c r="A137" s="3" t="str">
        <f t="shared" si="13"/>
        <v>Green</v>
      </c>
      <c r="B137" s="3" t="s">
        <v>46</v>
      </c>
      <c r="C137" s="3">
        <v>136</v>
      </c>
      <c r="D137" s="3">
        <v>50</v>
      </c>
      <c r="E137" s="3">
        <v>0</v>
      </c>
      <c r="F137" s="3">
        <v>20</v>
      </c>
      <c r="G137" s="3" t="s">
        <v>34</v>
      </c>
      <c r="I137" s="3">
        <f t="shared" si="10"/>
        <v>0</v>
      </c>
      <c r="J137" s="3">
        <f t="shared" si="11"/>
        <v>0.5</v>
      </c>
      <c r="K137" s="15">
        <f t="shared" si="12"/>
        <v>9</v>
      </c>
    </row>
    <row r="138" spans="1:12" x14ac:dyDescent="0.2">
      <c r="A138" s="3" t="str">
        <f t="shared" si="13"/>
        <v>Green</v>
      </c>
      <c r="B138" s="3" t="s">
        <v>46</v>
      </c>
      <c r="C138" s="3">
        <v>137</v>
      </c>
      <c r="D138" s="3">
        <v>50</v>
      </c>
      <c r="E138" s="3">
        <v>0</v>
      </c>
      <c r="F138" s="3">
        <v>20</v>
      </c>
      <c r="G138" s="3" t="s">
        <v>34</v>
      </c>
      <c r="I138" s="3">
        <f t="shared" si="10"/>
        <v>0</v>
      </c>
      <c r="J138" s="3">
        <f t="shared" si="11"/>
        <v>0.5</v>
      </c>
      <c r="K138" s="15">
        <f t="shared" si="12"/>
        <v>9</v>
      </c>
    </row>
    <row r="139" spans="1:12" x14ac:dyDescent="0.2">
      <c r="A139" s="3" t="str">
        <f t="shared" si="13"/>
        <v>Green</v>
      </c>
      <c r="B139" s="3" t="s">
        <v>46</v>
      </c>
      <c r="C139" s="5">
        <v>138</v>
      </c>
      <c r="D139" s="3">
        <v>50</v>
      </c>
      <c r="E139" s="3">
        <v>0</v>
      </c>
      <c r="F139" s="3">
        <v>20</v>
      </c>
      <c r="G139" s="3" t="s">
        <v>34</v>
      </c>
      <c r="I139" s="3">
        <f t="shared" si="10"/>
        <v>0</v>
      </c>
      <c r="J139" s="3">
        <f t="shared" si="11"/>
        <v>0.5</v>
      </c>
      <c r="K139" s="15">
        <f t="shared" si="12"/>
        <v>9</v>
      </c>
    </row>
    <row r="140" spans="1:12" x14ac:dyDescent="0.2">
      <c r="A140" s="3" t="str">
        <f t="shared" si="13"/>
        <v>Green</v>
      </c>
      <c r="B140" s="3" t="s">
        <v>46</v>
      </c>
      <c r="C140" s="3">
        <v>139</v>
      </c>
      <c r="D140" s="3">
        <v>50</v>
      </c>
      <c r="E140" s="3">
        <v>0</v>
      </c>
      <c r="F140" s="3">
        <v>20</v>
      </c>
      <c r="G140" s="3" t="s">
        <v>34</v>
      </c>
      <c r="I140" s="3">
        <f t="shared" si="10"/>
        <v>0</v>
      </c>
      <c r="J140" s="3">
        <f t="shared" si="11"/>
        <v>0.5</v>
      </c>
      <c r="K140" s="15">
        <f t="shared" si="12"/>
        <v>9</v>
      </c>
    </row>
    <row r="141" spans="1:12" x14ac:dyDescent="0.2">
      <c r="A141" s="3" t="str">
        <f t="shared" si="13"/>
        <v>Green</v>
      </c>
      <c r="B141" s="3" t="s">
        <v>46</v>
      </c>
      <c r="C141" s="3">
        <v>140</v>
      </c>
      <c r="D141" s="3">
        <v>50</v>
      </c>
      <c r="E141" s="3">
        <v>0</v>
      </c>
      <c r="F141" s="3">
        <v>20</v>
      </c>
      <c r="G141" s="3" t="s">
        <v>34</v>
      </c>
      <c r="I141" s="3">
        <f t="shared" si="10"/>
        <v>0</v>
      </c>
      <c r="J141" s="3">
        <f t="shared" si="11"/>
        <v>0.5</v>
      </c>
      <c r="K141" s="15">
        <f t="shared" si="12"/>
        <v>9</v>
      </c>
    </row>
    <row r="142" spans="1:12" ht="34" x14ac:dyDescent="0.2">
      <c r="A142" s="3" t="str">
        <f t="shared" si="13"/>
        <v>Green</v>
      </c>
      <c r="B142" s="3" t="s">
        <v>46</v>
      </c>
      <c r="C142" s="3">
        <v>141</v>
      </c>
      <c r="D142" s="3">
        <v>50</v>
      </c>
      <c r="E142" s="3">
        <v>0</v>
      </c>
      <c r="F142" s="3">
        <v>20</v>
      </c>
      <c r="G142" s="11" t="str">
        <f>G40</f>
        <v>STATION; CENTRAL; UNDERDROUND</v>
      </c>
      <c r="H142" s="3" t="s">
        <v>91</v>
      </c>
      <c r="I142" s="3">
        <f t="shared" si="10"/>
        <v>0</v>
      </c>
      <c r="J142" s="3">
        <f t="shared" si="11"/>
        <v>0.5</v>
      </c>
      <c r="K142" s="15">
        <f t="shared" si="12"/>
        <v>9</v>
      </c>
      <c r="L142" s="1" t="b">
        <v>1</v>
      </c>
    </row>
    <row r="143" spans="1:12" x14ac:dyDescent="0.2">
      <c r="A143" s="3" t="str">
        <f t="shared" si="13"/>
        <v>Green</v>
      </c>
      <c r="B143" s="3" t="s">
        <v>46</v>
      </c>
      <c r="C143" s="5">
        <v>142</v>
      </c>
      <c r="D143" s="3">
        <v>50</v>
      </c>
      <c r="E143" s="3">
        <v>0</v>
      </c>
      <c r="F143" s="3">
        <v>20</v>
      </c>
      <c r="G143" s="3" t="s">
        <v>34</v>
      </c>
      <c r="I143" s="3">
        <f t="shared" si="10"/>
        <v>0</v>
      </c>
      <c r="J143" s="3">
        <f t="shared" si="11"/>
        <v>0.5</v>
      </c>
      <c r="K143" s="15">
        <f t="shared" si="12"/>
        <v>9</v>
      </c>
    </row>
    <row r="144" spans="1:12" x14ac:dyDescent="0.2">
      <c r="A144" s="3" t="str">
        <f t="shared" si="13"/>
        <v>Green</v>
      </c>
      <c r="B144" s="3" t="s">
        <v>46</v>
      </c>
      <c r="C144" s="3">
        <v>143</v>
      </c>
      <c r="D144" s="3">
        <v>50</v>
      </c>
      <c r="E144" s="3">
        <v>0</v>
      </c>
      <c r="F144" s="3">
        <v>20</v>
      </c>
      <c r="G144" s="3" t="s">
        <v>34</v>
      </c>
      <c r="I144" s="3">
        <f t="shared" si="10"/>
        <v>0</v>
      </c>
      <c r="J144" s="3">
        <f t="shared" si="11"/>
        <v>0.5</v>
      </c>
      <c r="K144" s="15">
        <f t="shared" si="12"/>
        <v>9</v>
      </c>
    </row>
    <row r="145" spans="1:11" x14ac:dyDescent="0.2">
      <c r="A145" s="3" t="str">
        <f t="shared" si="13"/>
        <v>Green</v>
      </c>
      <c r="B145" s="3" t="s">
        <v>47</v>
      </c>
      <c r="C145" s="3">
        <v>144</v>
      </c>
      <c r="D145" s="3">
        <v>50</v>
      </c>
      <c r="E145" s="3">
        <v>0</v>
      </c>
      <c r="F145" s="3">
        <v>20</v>
      </c>
      <c r="I145" s="3">
        <f t="shared" si="10"/>
        <v>0</v>
      </c>
      <c r="J145" s="3">
        <f t="shared" si="11"/>
        <v>0.5</v>
      </c>
      <c r="K145" s="15">
        <f t="shared" si="12"/>
        <v>9</v>
      </c>
    </row>
    <row r="146" spans="1:11" x14ac:dyDescent="0.2">
      <c r="A146" s="3" t="str">
        <f t="shared" si="13"/>
        <v>Green</v>
      </c>
      <c r="B146" s="3" t="s">
        <v>47</v>
      </c>
      <c r="C146" s="3">
        <v>145</v>
      </c>
      <c r="D146" s="3">
        <v>50</v>
      </c>
      <c r="E146" s="3">
        <v>0</v>
      </c>
      <c r="F146" s="3">
        <v>20</v>
      </c>
      <c r="I146" s="3">
        <f t="shared" si="10"/>
        <v>0</v>
      </c>
      <c r="J146" s="3">
        <f t="shared" si="11"/>
        <v>0.5</v>
      </c>
      <c r="K146" s="15">
        <f t="shared" si="12"/>
        <v>9</v>
      </c>
    </row>
    <row r="147" spans="1:11" x14ac:dyDescent="0.2">
      <c r="A147" s="3" t="str">
        <f t="shared" si="13"/>
        <v>Green</v>
      </c>
      <c r="B147" s="3" t="s">
        <v>47</v>
      </c>
      <c r="C147" s="5">
        <v>146</v>
      </c>
      <c r="D147" s="3">
        <v>50</v>
      </c>
      <c r="E147" s="3">
        <v>0</v>
      </c>
      <c r="F147" s="3">
        <v>20</v>
      </c>
      <c r="I147" s="3">
        <f t="shared" si="10"/>
        <v>0</v>
      </c>
      <c r="J147" s="3">
        <f t="shared" si="11"/>
        <v>0.5</v>
      </c>
      <c r="K147" s="15">
        <f t="shared" si="12"/>
        <v>9</v>
      </c>
    </row>
    <row r="148" spans="1:11" x14ac:dyDescent="0.2">
      <c r="A148" s="3" t="str">
        <f t="shared" si="13"/>
        <v>Green</v>
      </c>
      <c r="B148" s="3" t="s">
        <v>48</v>
      </c>
      <c r="C148" s="3">
        <v>147</v>
      </c>
      <c r="D148" s="3">
        <v>50</v>
      </c>
      <c r="E148" s="3">
        <v>0</v>
      </c>
      <c r="F148" s="3">
        <v>20</v>
      </c>
      <c r="I148" s="3">
        <f t="shared" si="10"/>
        <v>0</v>
      </c>
      <c r="J148" s="3">
        <f t="shared" si="11"/>
        <v>0.5</v>
      </c>
      <c r="K148" s="15">
        <f t="shared" si="12"/>
        <v>9</v>
      </c>
    </row>
    <row r="149" spans="1:11" x14ac:dyDescent="0.2">
      <c r="A149" s="3" t="str">
        <f t="shared" si="13"/>
        <v>Green</v>
      </c>
      <c r="B149" s="3" t="s">
        <v>48</v>
      </c>
      <c r="C149" s="3">
        <v>148</v>
      </c>
      <c r="D149" s="3">
        <f>40+144</f>
        <v>184</v>
      </c>
      <c r="E149" s="3">
        <v>0</v>
      </c>
      <c r="F149" s="3">
        <v>20</v>
      </c>
      <c r="I149" s="3">
        <f t="shared" si="10"/>
        <v>0</v>
      </c>
      <c r="J149" s="3">
        <f t="shared" si="11"/>
        <v>0.5</v>
      </c>
      <c r="K149" s="15">
        <f t="shared" si="12"/>
        <v>33.119999999999997</v>
      </c>
    </row>
    <row r="150" spans="1:11" x14ac:dyDescent="0.2">
      <c r="A150" s="3" t="str">
        <f t="shared" si="13"/>
        <v>Green</v>
      </c>
      <c r="B150" s="3" t="s">
        <v>48</v>
      </c>
      <c r="C150" s="3">
        <v>149</v>
      </c>
      <c r="D150" s="3">
        <v>40</v>
      </c>
      <c r="E150" s="3">
        <v>0</v>
      </c>
      <c r="F150" s="3">
        <v>20</v>
      </c>
      <c r="I150" s="3">
        <f t="shared" si="10"/>
        <v>0</v>
      </c>
      <c r="J150" s="3">
        <f t="shared" si="11"/>
        <v>0.5</v>
      </c>
      <c r="K150" s="15">
        <f t="shared" si="12"/>
        <v>7.1999999999999993</v>
      </c>
    </row>
    <row r="151" spans="1:11" x14ac:dyDescent="0.2">
      <c r="A151" s="3" t="str">
        <f t="shared" si="13"/>
        <v>Green</v>
      </c>
      <c r="B151" s="3" t="s">
        <v>49</v>
      </c>
      <c r="C151" s="5">
        <v>150</v>
      </c>
      <c r="D151" s="3">
        <v>35</v>
      </c>
      <c r="E151" s="3">
        <v>0</v>
      </c>
      <c r="F151" s="3">
        <v>20</v>
      </c>
      <c r="I151" s="3">
        <f t="shared" si="10"/>
        <v>0</v>
      </c>
      <c r="J151" s="3">
        <f t="shared" si="11"/>
        <v>0.5</v>
      </c>
      <c r="K151" s="15">
        <f>D151*(1/(F151*1000/(60*60)))</f>
        <v>6.3</v>
      </c>
    </row>
  </sheetData>
  <autoFilter ref="A1:K151" xr:uid="{00000000-0001-0000-02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C5BC1-2725-7244-A44E-3A352D9C3712}">
  <sheetPr codeName="Sheet5"/>
  <dimension ref="A1:M19"/>
  <sheetViews>
    <sheetView zoomScaleNormal="120" workbookViewId="0">
      <pane ySplit="1" topLeftCell="A2" activePane="bottomLeft" state="frozen"/>
      <selection pane="bottomLeft" activeCell="E24" sqref="E24"/>
    </sheetView>
  </sheetViews>
  <sheetFormatPr baseColWidth="10" defaultColWidth="8.83203125" defaultRowHeight="16" x14ac:dyDescent="0.2"/>
  <cols>
    <col min="1" max="1" width="8.83203125" style="3"/>
    <col min="2" max="2" width="12.83203125" style="3" customWidth="1"/>
    <col min="3" max="3" width="8.5" style="3" customWidth="1"/>
    <col min="4" max="4" width="11" style="3" customWidth="1"/>
    <col min="5" max="5" width="10.5" style="3" customWidth="1"/>
    <col min="6" max="6" width="13.33203125" style="3" customWidth="1"/>
    <col min="7" max="7" width="31" style="3" customWidth="1"/>
    <col min="8" max="8" width="8.83203125" style="3"/>
    <col min="9" max="12" width="8.83203125" style="1"/>
    <col min="13" max="13" width="11.5" style="1" customWidth="1"/>
    <col min="14" max="16384" width="8.83203125" style="1"/>
  </cols>
  <sheetData>
    <row r="1" spans="1:13" ht="38" customHeight="1" x14ac:dyDescent="0.2">
      <c r="A1" s="4" t="s">
        <v>1</v>
      </c>
      <c r="B1" s="4" t="s">
        <v>7</v>
      </c>
      <c r="C1" s="2" t="s">
        <v>0</v>
      </c>
      <c r="D1" s="2" t="s">
        <v>3</v>
      </c>
      <c r="E1" s="2" t="s">
        <v>4</v>
      </c>
      <c r="F1" s="2" t="s">
        <v>43</v>
      </c>
      <c r="G1" s="4" t="s">
        <v>11</v>
      </c>
      <c r="H1" s="2" t="s">
        <v>88</v>
      </c>
      <c r="I1" s="7" t="s">
        <v>36</v>
      </c>
      <c r="J1" s="7" t="s">
        <v>37</v>
      </c>
      <c r="K1" s="7" t="s">
        <v>80</v>
      </c>
    </row>
    <row r="2" spans="1:13" x14ac:dyDescent="0.2">
      <c r="A2" s="26" t="s">
        <v>93</v>
      </c>
      <c r="B2" s="3" t="s">
        <v>8</v>
      </c>
      <c r="C2" s="5">
        <v>1</v>
      </c>
      <c r="D2" s="3">
        <v>100</v>
      </c>
      <c r="E2" s="3">
        <v>0.5</v>
      </c>
      <c r="F2" s="3">
        <v>45</v>
      </c>
      <c r="I2" s="3">
        <f>E2*D2/100</f>
        <v>0.5</v>
      </c>
      <c r="J2" s="3">
        <f>I2</f>
        <v>0.5</v>
      </c>
      <c r="K2" s="15">
        <f t="shared" ref="K2:K19" si="0">D2*(1/(F2*1000/(60*60)))</f>
        <v>8</v>
      </c>
      <c r="M2" s="23" t="s">
        <v>92</v>
      </c>
    </row>
    <row r="3" spans="1:13" ht="17" x14ac:dyDescent="0.2">
      <c r="A3" s="3" t="str">
        <f>A2</f>
        <v>Orange</v>
      </c>
      <c r="B3" s="3" t="s">
        <v>8</v>
      </c>
      <c r="C3" s="3">
        <v>2</v>
      </c>
      <c r="D3" s="3">
        <v>100</v>
      </c>
      <c r="E3" s="3">
        <v>1</v>
      </c>
      <c r="F3" s="3">
        <v>45</v>
      </c>
      <c r="G3" s="11" t="s">
        <v>50</v>
      </c>
      <c r="H3" s="3" t="s">
        <v>89</v>
      </c>
      <c r="I3" s="3">
        <f t="shared" ref="I3:I19" si="1">E3*D3/100</f>
        <v>1</v>
      </c>
      <c r="J3" s="3">
        <f>I3+J2</f>
        <v>1.5</v>
      </c>
      <c r="K3" s="15">
        <f t="shared" si="0"/>
        <v>8</v>
      </c>
    </row>
    <row r="4" spans="1:13" x14ac:dyDescent="0.2">
      <c r="A4" s="3" t="str">
        <f t="shared" ref="A4:A19" si="2">A3</f>
        <v>Orange</v>
      </c>
      <c r="B4" s="3" t="s">
        <v>8</v>
      </c>
      <c r="C4" s="3">
        <v>3</v>
      </c>
      <c r="D4" s="3">
        <v>75</v>
      </c>
      <c r="E4" s="3">
        <v>1.5</v>
      </c>
      <c r="F4" s="3">
        <v>45</v>
      </c>
      <c r="I4" s="3">
        <f t="shared" si="1"/>
        <v>1.125</v>
      </c>
      <c r="J4" s="3">
        <f t="shared" ref="J4:J19" si="3">I4+J3</f>
        <v>2.625</v>
      </c>
      <c r="K4" s="15">
        <f t="shared" si="0"/>
        <v>6</v>
      </c>
      <c r="L4" s="9"/>
    </row>
    <row r="5" spans="1:13" x14ac:dyDescent="0.2">
      <c r="A5" s="3" t="str">
        <f t="shared" si="2"/>
        <v>Orange</v>
      </c>
      <c r="B5" s="3" t="s">
        <v>9</v>
      </c>
      <c r="C5" s="5">
        <v>4</v>
      </c>
      <c r="D5" s="3">
        <v>75</v>
      </c>
      <c r="E5" s="3">
        <v>2</v>
      </c>
      <c r="F5" s="3">
        <v>45</v>
      </c>
      <c r="I5" s="3">
        <f t="shared" si="1"/>
        <v>1.5</v>
      </c>
      <c r="J5" s="3">
        <f t="shared" si="3"/>
        <v>4.125</v>
      </c>
      <c r="K5" s="15">
        <f t="shared" si="0"/>
        <v>6</v>
      </c>
    </row>
    <row r="6" spans="1:13" x14ac:dyDescent="0.2">
      <c r="A6" s="3" t="str">
        <f t="shared" si="2"/>
        <v>Orange</v>
      </c>
      <c r="B6" s="3" t="s">
        <v>9</v>
      </c>
      <c r="C6" s="3">
        <v>5</v>
      </c>
      <c r="D6" s="3">
        <v>100</v>
      </c>
      <c r="E6" s="3">
        <v>3</v>
      </c>
      <c r="F6" s="3">
        <v>45</v>
      </c>
      <c r="I6" s="3">
        <f t="shared" si="1"/>
        <v>3</v>
      </c>
      <c r="J6" s="3">
        <f t="shared" si="3"/>
        <v>7.125</v>
      </c>
      <c r="K6" s="15">
        <f t="shared" si="0"/>
        <v>8</v>
      </c>
    </row>
    <row r="7" spans="1:13" x14ac:dyDescent="0.2">
      <c r="A7" s="3" t="str">
        <f t="shared" si="2"/>
        <v>Orange</v>
      </c>
      <c r="B7" s="3" t="s">
        <v>9</v>
      </c>
      <c r="C7" s="3">
        <v>6</v>
      </c>
      <c r="D7" s="3">
        <v>100</v>
      </c>
      <c r="E7" s="3">
        <v>4</v>
      </c>
      <c r="F7" s="3">
        <v>45</v>
      </c>
      <c r="I7" s="3">
        <f t="shared" si="1"/>
        <v>4</v>
      </c>
      <c r="J7" s="3">
        <f t="shared" si="3"/>
        <v>11.125</v>
      </c>
      <c r="K7" s="15">
        <f t="shared" si="0"/>
        <v>8</v>
      </c>
    </row>
    <row r="8" spans="1:13" x14ac:dyDescent="0.2">
      <c r="A8" s="3" t="str">
        <f t="shared" si="2"/>
        <v>Orange</v>
      </c>
      <c r="B8" s="3" t="s">
        <v>10</v>
      </c>
      <c r="C8" s="5">
        <v>7</v>
      </c>
      <c r="D8" s="3">
        <v>100</v>
      </c>
      <c r="E8" s="3">
        <v>5</v>
      </c>
      <c r="F8" s="3">
        <v>45</v>
      </c>
      <c r="G8" s="11"/>
      <c r="I8" s="3">
        <f t="shared" si="1"/>
        <v>5</v>
      </c>
      <c r="J8" s="3">
        <f t="shared" si="3"/>
        <v>16.125</v>
      </c>
      <c r="K8" s="15">
        <f t="shared" si="0"/>
        <v>8</v>
      </c>
    </row>
    <row r="9" spans="1:13" x14ac:dyDescent="0.2">
      <c r="A9" s="3" t="str">
        <f t="shared" si="2"/>
        <v>Orange</v>
      </c>
      <c r="B9" s="3" t="s">
        <v>10</v>
      </c>
      <c r="C9" s="3">
        <v>8</v>
      </c>
      <c r="D9" s="3">
        <v>100</v>
      </c>
      <c r="E9" s="3">
        <v>0</v>
      </c>
      <c r="F9" s="3">
        <v>45</v>
      </c>
      <c r="I9" s="3">
        <f t="shared" si="1"/>
        <v>0</v>
      </c>
      <c r="J9" s="3">
        <f t="shared" si="3"/>
        <v>16.125</v>
      </c>
      <c r="K9" s="15">
        <f t="shared" si="0"/>
        <v>8</v>
      </c>
    </row>
    <row r="10" spans="1:13" ht="17" x14ac:dyDescent="0.2">
      <c r="A10" s="3" t="str">
        <f t="shared" si="2"/>
        <v>Orange</v>
      </c>
      <c r="B10" s="3" t="s">
        <v>10</v>
      </c>
      <c r="C10" s="3">
        <v>9</v>
      </c>
      <c r="D10" s="3">
        <v>50</v>
      </c>
      <c r="E10" s="3">
        <v>-5</v>
      </c>
      <c r="F10" s="3">
        <v>45</v>
      </c>
      <c r="G10" s="11" t="s">
        <v>51</v>
      </c>
      <c r="H10" s="3" t="s">
        <v>89</v>
      </c>
      <c r="I10" s="3">
        <f t="shared" si="1"/>
        <v>-2.5</v>
      </c>
      <c r="J10" s="3">
        <f t="shared" si="3"/>
        <v>13.625</v>
      </c>
      <c r="K10" s="15">
        <f t="shared" si="0"/>
        <v>4</v>
      </c>
    </row>
    <row r="11" spans="1:13" x14ac:dyDescent="0.2">
      <c r="A11" s="3" t="str">
        <f t="shared" si="2"/>
        <v>Orange</v>
      </c>
      <c r="B11" s="26" t="s">
        <v>13</v>
      </c>
      <c r="C11" s="5">
        <v>10</v>
      </c>
      <c r="D11" s="3">
        <v>50</v>
      </c>
      <c r="E11" s="3">
        <v>-4.5</v>
      </c>
      <c r="F11" s="3">
        <v>45</v>
      </c>
      <c r="I11" s="3">
        <f t="shared" si="1"/>
        <v>-2.25</v>
      </c>
      <c r="J11" s="3">
        <f t="shared" si="3"/>
        <v>11.375</v>
      </c>
      <c r="K11" s="15">
        <f t="shared" si="0"/>
        <v>4</v>
      </c>
    </row>
    <row r="12" spans="1:13" x14ac:dyDescent="0.2">
      <c r="A12" s="3" t="str">
        <f t="shared" si="2"/>
        <v>Orange</v>
      </c>
      <c r="B12" s="26" t="s">
        <v>13</v>
      </c>
      <c r="C12" s="3">
        <v>11</v>
      </c>
      <c r="D12" s="3">
        <v>100</v>
      </c>
      <c r="E12" s="3">
        <v>-4</v>
      </c>
      <c r="F12" s="3">
        <v>45</v>
      </c>
      <c r="I12" s="3">
        <f t="shared" si="1"/>
        <v>-4</v>
      </c>
      <c r="J12" s="3">
        <f t="shared" si="3"/>
        <v>7.375</v>
      </c>
      <c r="K12" s="15">
        <f t="shared" si="0"/>
        <v>8</v>
      </c>
    </row>
    <row r="13" spans="1:13" x14ac:dyDescent="0.2">
      <c r="A13" s="3" t="str">
        <f t="shared" si="2"/>
        <v>Orange</v>
      </c>
      <c r="B13" s="26" t="s">
        <v>13</v>
      </c>
      <c r="C13" s="5">
        <v>12</v>
      </c>
      <c r="D13" s="3">
        <v>100</v>
      </c>
      <c r="E13" s="3">
        <v>-3</v>
      </c>
      <c r="F13" s="3">
        <v>45</v>
      </c>
      <c r="G13" s="3" t="s">
        <v>64</v>
      </c>
      <c r="I13" s="3">
        <f t="shared" si="1"/>
        <v>-3</v>
      </c>
      <c r="J13" s="3">
        <f t="shared" si="3"/>
        <v>4.375</v>
      </c>
      <c r="K13" s="15">
        <f t="shared" si="0"/>
        <v>8</v>
      </c>
    </row>
    <row r="14" spans="1:13" x14ac:dyDescent="0.2">
      <c r="A14" s="3" t="str">
        <f t="shared" si="2"/>
        <v>Orange</v>
      </c>
      <c r="B14" s="26" t="s">
        <v>14</v>
      </c>
      <c r="C14" s="3">
        <v>13</v>
      </c>
      <c r="D14" s="3">
        <v>150</v>
      </c>
      <c r="E14" s="3">
        <v>0</v>
      </c>
      <c r="F14" s="3">
        <v>70</v>
      </c>
      <c r="I14" s="3">
        <f t="shared" si="1"/>
        <v>0</v>
      </c>
      <c r="J14" s="3">
        <f t="shared" si="3"/>
        <v>4.375</v>
      </c>
      <c r="K14" s="15">
        <f t="shared" si="0"/>
        <v>7.7142857142857153</v>
      </c>
    </row>
    <row r="15" spans="1:13" x14ac:dyDescent="0.2">
      <c r="A15" s="3" t="str">
        <f t="shared" si="2"/>
        <v>Orange</v>
      </c>
      <c r="B15" s="26" t="s">
        <v>14</v>
      </c>
      <c r="C15" s="3">
        <v>14</v>
      </c>
      <c r="D15" s="3">
        <v>150</v>
      </c>
      <c r="E15" s="3">
        <v>0</v>
      </c>
      <c r="F15" s="3">
        <v>70</v>
      </c>
      <c r="I15" s="3">
        <f t="shared" si="1"/>
        <v>0</v>
      </c>
      <c r="J15" s="3">
        <f t="shared" si="3"/>
        <v>4.375</v>
      </c>
      <c r="K15" s="15">
        <f t="shared" si="0"/>
        <v>7.7142857142857153</v>
      </c>
    </row>
    <row r="16" spans="1:13" x14ac:dyDescent="0.2">
      <c r="A16" s="3" t="str">
        <f t="shared" si="2"/>
        <v>Orange</v>
      </c>
      <c r="B16" s="26" t="s">
        <v>14</v>
      </c>
      <c r="C16" s="5">
        <v>15</v>
      </c>
      <c r="D16" s="3">
        <v>150</v>
      </c>
      <c r="E16" s="3">
        <v>0</v>
      </c>
      <c r="F16" s="3">
        <v>70</v>
      </c>
      <c r="I16" s="3">
        <f t="shared" si="1"/>
        <v>0</v>
      </c>
      <c r="J16" s="3">
        <f t="shared" si="3"/>
        <v>4.375</v>
      </c>
      <c r="K16" s="15">
        <f t="shared" si="0"/>
        <v>7.7142857142857153</v>
      </c>
    </row>
    <row r="17" spans="1:11" ht="17" x14ac:dyDescent="0.2">
      <c r="A17" s="3" t="str">
        <f t="shared" si="2"/>
        <v>Orange</v>
      </c>
      <c r="B17" s="26" t="s">
        <v>15</v>
      </c>
      <c r="C17" s="3">
        <v>16</v>
      </c>
      <c r="D17" s="3">
        <v>150</v>
      </c>
      <c r="E17" s="3">
        <v>0</v>
      </c>
      <c r="F17" s="3">
        <v>70</v>
      </c>
      <c r="G17" s="11" t="s">
        <v>22</v>
      </c>
      <c r="H17" s="3" t="s">
        <v>90</v>
      </c>
      <c r="I17" s="3">
        <f t="shared" si="1"/>
        <v>0</v>
      </c>
      <c r="J17" s="3">
        <f t="shared" si="3"/>
        <v>4.375</v>
      </c>
      <c r="K17" s="15">
        <f t="shared" si="0"/>
        <v>7.7142857142857153</v>
      </c>
    </row>
    <row r="18" spans="1:11" x14ac:dyDescent="0.2">
      <c r="A18" s="3" t="str">
        <f t="shared" si="2"/>
        <v>Orange</v>
      </c>
      <c r="B18" s="26" t="s">
        <v>15</v>
      </c>
      <c r="C18" s="5">
        <v>17</v>
      </c>
      <c r="D18" s="3">
        <v>150</v>
      </c>
      <c r="E18" s="3">
        <v>0</v>
      </c>
      <c r="F18" s="3">
        <v>60</v>
      </c>
      <c r="I18" s="3">
        <f>E18*D18/100</f>
        <v>0</v>
      </c>
      <c r="J18" s="3">
        <f t="shared" si="3"/>
        <v>4.375</v>
      </c>
      <c r="K18" s="15">
        <f t="shared" si="0"/>
        <v>9</v>
      </c>
    </row>
    <row r="19" spans="1:11" x14ac:dyDescent="0.2">
      <c r="A19" s="3" t="str">
        <f t="shared" si="2"/>
        <v>Orange</v>
      </c>
      <c r="B19" s="26" t="s">
        <v>15</v>
      </c>
      <c r="C19" s="3">
        <v>18</v>
      </c>
      <c r="D19" s="3">
        <v>150</v>
      </c>
      <c r="E19" s="3">
        <v>0</v>
      </c>
      <c r="F19" s="3">
        <v>60</v>
      </c>
      <c r="I19" s="3">
        <f t="shared" si="1"/>
        <v>0</v>
      </c>
      <c r="J19" s="3">
        <f t="shared" si="3"/>
        <v>4.375</v>
      </c>
      <c r="K19" s="15">
        <f t="shared" si="0"/>
        <v>9</v>
      </c>
    </row>
  </sheetData>
  <autoFilter ref="A1:K19" xr:uid="{00000000-0001-0000-02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20"/>
  <sheetViews>
    <sheetView topLeftCell="A2" workbookViewId="0">
      <selection activeCell="M23" sqref="M23"/>
    </sheetView>
  </sheetViews>
  <sheetFormatPr baseColWidth="10" defaultColWidth="8.83203125" defaultRowHeight="15" x14ac:dyDescent="0.2"/>
  <sheetData>
    <row r="1" spans="1:10" ht="16" x14ac:dyDescent="0.2">
      <c r="A1" s="25" t="s">
        <v>17</v>
      </c>
      <c r="B1" s="25"/>
      <c r="C1" s="25"/>
      <c r="D1" s="25"/>
      <c r="E1" s="25" t="s">
        <v>18</v>
      </c>
      <c r="F1" s="25"/>
      <c r="G1" s="25"/>
      <c r="H1" s="25"/>
      <c r="I1" s="25"/>
      <c r="J1" s="25"/>
    </row>
    <row r="2" spans="1:10" ht="30" customHeight="1" x14ac:dyDescent="0.2">
      <c r="A2" s="24" t="s">
        <v>16</v>
      </c>
      <c r="B2" s="24"/>
      <c r="C2" s="24"/>
      <c r="D2" s="24"/>
      <c r="E2" s="24"/>
      <c r="F2" s="24"/>
      <c r="G2" s="24"/>
      <c r="H2" s="24"/>
      <c r="I2" s="24"/>
      <c r="J2" s="24"/>
    </row>
    <row r="8" spans="1:10" ht="16" x14ac:dyDescent="0.2">
      <c r="E8" s="10"/>
    </row>
    <row r="9" spans="1:10" ht="16" x14ac:dyDescent="0.2">
      <c r="E9" s="10"/>
    </row>
    <row r="19" spans="11:11" ht="16" x14ac:dyDescent="0.2">
      <c r="K19" s="10"/>
    </row>
    <row r="20" spans="11:11" ht="16" x14ac:dyDescent="0.2">
      <c r="K20" s="10"/>
    </row>
  </sheetData>
  <mergeCells count="3">
    <mergeCell ref="A2:J2"/>
    <mergeCell ref="A1:D1"/>
    <mergeCell ref="E1:J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topLeftCell="A25" workbookViewId="0"/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topLeftCell="A10" zoomScale="160" zoomScaleNormal="160" workbookViewId="0"/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General Information</vt:lpstr>
      <vt:lpstr>Blue Line</vt:lpstr>
      <vt:lpstr>RedLine</vt:lpstr>
      <vt:lpstr>Green Line</vt:lpstr>
      <vt:lpstr>OrangeLine</vt:lpstr>
      <vt:lpstr>Track Layout</vt:lpstr>
      <vt:lpstr>Vehicle Data 1</vt:lpstr>
      <vt:lpstr>Vehicle Data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Joseph A Profeta III</dc:creator>
  <cp:lastModifiedBy>Kerstetter, Jacob R</cp:lastModifiedBy>
  <cp:lastPrinted>2018-04-11T03:08:29Z</cp:lastPrinted>
  <dcterms:created xsi:type="dcterms:W3CDTF">2012-03-17T20:34:01Z</dcterms:created>
  <dcterms:modified xsi:type="dcterms:W3CDTF">2023-04-17T21:16:33Z</dcterms:modified>
</cp:coreProperties>
</file>